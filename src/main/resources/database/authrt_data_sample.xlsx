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10" activeTab="2"/>
  </bookViews>
  <sheets>
    <sheet name="OVERVIEW" sheetId="1" r:id="rId1"/>
    <sheet name="1. 부서권한" sheetId="2" r:id="rId2"/>
    <sheet name="2. 전문가관리" sheetId="6" r:id="rId3"/>
    <sheet name="3. 권한별 메뉴" sheetId="3" r:id="rId4"/>
    <sheet name="4. 게시판 권한" sheetId="5" r:id="rId5"/>
    <sheet name="5. 권한그룹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8" i="6" l="1"/>
  <c r="I66" i="6"/>
  <c r="I67" i="6"/>
  <c r="I50" i="6"/>
  <c r="I52" i="6"/>
  <c r="I53" i="6"/>
  <c r="I54" i="6"/>
  <c r="I51" i="6"/>
  <c r="I44" i="6"/>
  <c r="I39" i="6"/>
  <c r="I36" i="6"/>
  <c r="I37" i="6"/>
  <c r="I38" i="6"/>
  <c r="I40" i="6"/>
  <c r="I41" i="6"/>
  <c r="I42" i="6"/>
  <c r="I43" i="6"/>
  <c r="I35" i="6"/>
  <c r="I29" i="6"/>
  <c r="I28" i="6"/>
  <c r="I62" i="1" l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0" i="1"/>
  <c r="I74" i="1"/>
  <c r="I73" i="1"/>
  <c r="I72" i="1"/>
  <c r="I71" i="1"/>
  <c r="I69" i="1"/>
  <c r="I68" i="1"/>
  <c r="I67" i="1"/>
  <c r="I66" i="1"/>
  <c r="I65" i="1"/>
  <c r="I64" i="1"/>
  <c r="I63" i="1" l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47" i="4"/>
  <c r="I48" i="4"/>
  <c r="I49" i="4"/>
  <c r="I50" i="4"/>
  <c r="I37" i="4"/>
  <c r="I38" i="4"/>
  <c r="I39" i="4"/>
  <c r="I40" i="4"/>
  <c r="I41" i="4"/>
  <c r="I42" i="4"/>
  <c r="I43" i="4"/>
  <c r="I44" i="4"/>
  <c r="I45" i="4"/>
  <c r="I46" i="4"/>
  <c r="I28" i="4"/>
  <c r="I29" i="4"/>
  <c r="I27" i="4"/>
  <c r="I40" i="5"/>
  <c r="I41" i="5"/>
  <c r="I39" i="5"/>
  <c r="I29" i="5"/>
  <c r="I30" i="5"/>
  <c r="I28" i="5"/>
  <c r="I37" i="3"/>
  <c r="I38" i="3"/>
  <c r="I39" i="3"/>
  <c r="I40" i="3"/>
  <c r="I36" i="3"/>
  <c r="I28" i="3"/>
  <c r="I41" i="2"/>
  <c r="I40" i="2"/>
  <c r="I39" i="2"/>
  <c r="I38" i="2"/>
  <c r="I37" i="2"/>
  <c r="I28" i="2"/>
  <c r="I48" i="1" l="1"/>
</calcChain>
</file>

<file path=xl/sharedStrings.xml><?xml version="1.0" encoding="utf-8"?>
<sst xmlns="http://schemas.openxmlformats.org/spreadsheetml/2006/main" count="2091" uniqueCount="352">
  <si>
    <t>C, R, U, D, UP, DOWN</t>
    <phoneticPr fontId="2" type="noConversion"/>
  </si>
  <si>
    <t>부서권한</t>
    <phoneticPr fontId="2" type="noConversion"/>
  </si>
  <si>
    <t>MENU_NM</t>
    <phoneticPr fontId="2" type="noConversion"/>
  </si>
  <si>
    <t>DESC</t>
    <phoneticPr fontId="2" type="noConversion"/>
  </si>
  <si>
    <t>부서 권한 부여/제거</t>
    <phoneticPr fontId="2" type="noConversion"/>
  </si>
  <si>
    <t>담당자권한</t>
    <phoneticPr fontId="2" type="noConversion"/>
  </si>
  <si>
    <t>담당자 권한 부여/제거</t>
    <phoneticPr fontId="2" type="noConversion"/>
  </si>
  <si>
    <t>AUTHRT</t>
    <phoneticPr fontId="2" type="noConversion"/>
  </si>
  <si>
    <t>전문가권한</t>
    <phoneticPr fontId="2" type="noConversion"/>
  </si>
  <si>
    <t>기업 업무</t>
    <phoneticPr fontId="2" type="noConversion"/>
  </si>
  <si>
    <t>전문가 업무</t>
    <phoneticPr fontId="2" type="noConversion"/>
  </si>
  <si>
    <t>내 업무(회원관리) - 기관관리자</t>
    <phoneticPr fontId="2" type="noConversion"/>
  </si>
  <si>
    <t>메뉴 권한</t>
    <phoneticPr fontId="2" type="noConversion"/>
  </si>
  <si>
    <t>권한별 메뉴</t>
    <phoneticPr fontId="2" type="noConversion"/>
  </si>
  <si>
    <t>게시판관리</t>
    <phoneticPr fontId="2" type="noConversion"/>
  </si>
  <si>
    <t>기업 업무 부여/제거</t>
    <phoneticPr fontId="2" type="noConversion"/>
  </si>
  <si>
    <t>전무가 업무 접근 권한 부여/제거</t>
    <phoneticPr fontId="2" type="noConversion"/>
  </si>
  <si>
    <t>회원정보 상세(탈퇴처리)</t>
    <phoneticPr fontId="2" type="noConversion"/>
  </si>
  <si>
    <t>전문가 회원 탈퇴처리</t>
    <phoneticPr fontId="2" type="noConversion"/>
  </si>
  <si>
    <t>관리자 반려, 지정 및 재지정 등</t>
    <phoneticPr fontId="2" type="noConversion"/>
  </si>
  <si>
    <t>권한-메뉴-롤에 대한 롤 및 권한 부여/제거</t>
    <phoneticPr fontId="2" type="noConversion"/>
  </si>
  <si>
    <t>게시판 권한 부여 및 제거</t>
    <phoneticPr fontId="2" type="noConversion"/>
  </si>
  <si>
    <t>권한그룹 관리 권한</t>
    <phoneticPr fontId="2" type="noConversion"/>
  </si>
  <si>
    <t>게시판 관리 권한</t>
    <phoneticPr fontId="2" type="noConversion"/>
  </si>
  <si>
    <t>권한그룹 부여/제거</t>
    <phoneticPr fontId="2" type="noConversion"/>
  </si>
  <si>
    <t>NO</t>
    <phoneticPr fontId="2" type="noConversion"/>
  </si>
  <si>
    <t>1. 메뉴 정리별 권한 정리</t>
    <phoneticPr fontId="2" type="noConversion"/>
  </si>
  <si>
    <t>2. 변경 유형 정리</t>
    <phoneticPr fontId="2" type="noConversion"/>
  </si>
  <si>
    <t>적용대상</t>
    <phoneticPr fontId="2" type="noConversion"/>
  </si>
  <si>
    <t>변경유형</t>
    <phoneticPr fontId="2" type="noConversion"/>
  </si>
  <si>
    <t>CODE</t>
    <phoneticPr fontId="2" type="noConversion"/>
  </si>
  <si>
    <t>추가</t>
    <phoneticPr fontId="2" type="noConversion"/>
  </si>
  <si>
    <t>제거</t>
    <phoneticPr fontId="2" type="noConversion"/>
  </si>
  <si>
    <t>사용</t>
    <phoneticPr fontId="2" type="noConversion"/>
  </si>
  <si>
    <t>미사용</t>
    <phoneticPr fontId="2" type="noConversion"/>
  </si>
  <si>
    <t>ADD</t>
  </si>
  <si>
    <t>ADD</t>
    <phoneticPr fontId="2" type="noConversion"/>
  </si>
  <si>
    <t>DEL</t>
    <phoneticPr fontId="2" type="noConversion"/>
  </si>
  <si>
    <t>USE</t>
    <phoneticPr fontId="2" type="noConversion"/>
  </si>
  <si>
    <t>UNUSE</t>
    <phoneticPr fontId="2" type="noConversion"/>
  </si>
  <si>
    <t>비고</t>
    <phoneticPr fontId="2" type="noConversion"/>
  </si>
  <si>
    <t>PK</t>
    <phoneticPr fontId="2" type="noConversion"/>
  </si>
  <si>
    <t>권한변경 일련번호</t>
    <phoneticPr fontId="2" type="noConversion"/>
  </si>
  <si>
    <t>권한ID</t>
    <phoneticPr fontId="2" type="noConversion"/>
  </si>
  <si>
    <t>CHG_TYPE (C5)</t>
    <phoneticPr fontId="2" type="noConversion"/>
  </si>
  <si>
    <t>APLCN_TRGT (V20)</t>
    <phoneticPr fontId="2" type="noConversion"/>
  </si>
  <si>
    <t>AUTHRT_ID (V20)</t>
    <phoneticPr fontId="2" type="noConversion"/>
  </si>
  <si>
    <t>BBS_MENU_ID (V20)</t>
    <phoneticPr fontId="2" type="noConversion"/>
  </si>
  <si>
    <t>게시판 메뉴ID</t>
    <phoneticPr fontId="2" type="noConversion"/>
  </si>
  <si>
    <t>0000999999</t>
    <phoneticPr fontId="2" type="noConversion"/>
  </si>
  <si>
    <t>CHG_ROLE_LIST (V100)</t>
    <phoneticPr fontId="2" type="noConversion"/>
  </si>
  <si>
    <t>변경 롤 목록</t>
    <phoneticPr fontId="2" type="noConversion"/>
  </si>
  <si>
    <t>N</t>
    <phoneticPr fontId="2" type="noConversion"/>
  </si>
  <si>
    <t>N·N</t>
    <phoneticPr fontId="2" type="noConversion"/>
  </si>
  <si>
    <t>게시판</t>
    <phoneticPr fontId="2" type="noConversion"/>
  </si>
  <si>
    <t>권한 그룹</t>
    <phoneticPr fontId="2" type="noConversion"/>
  </si>
  <si>
    <t>부서</t>
    <phoneticPr fontId="2" type="noConversion"/>
  </si>
  <si>
    <t>담당자</t>
    <phoneticPr fontId="2" type="noConversion"/>
  </si>
  <si>
    <t>전문가</t>
    <phoneticPr fontId="2" type="noConversion"/>
  </si>
  <si>
    <t>3. 적용 대상 유형 정리</t>
    <phoneticPr fontId="2" type="noConversion"/>
  </si>
  <si>
    <t>BBS</t>
    <phoneticPr fontId="2" type="noConversion"/>
  </si>
  <si>
    <t>GRP</t>
    <phoneticPr fontId="2" type="noConversion"/>
  </si>
  <si>
    <t>99. 테이블 예시</t>
    <phoneticPr fontId="2" type="noConversion"/>
  </si>
  <si>
    <t>-</t>
    <phoneticPr fontId="2" type="noConversion"/>
  </si>
  <si>
    <t>인사배치</t>
    <phoneticPr fontId="2" type="noConversion"/>
  </si>
  <si>
    <t>인사정보 배치프로그램</t>
    <phoneticPr fontId="2" type="noConversion"/>
  </si>
  <si>
    <t>C, R, U, D</t>
    <phoneticPr fontId="2" type="noConversion"/>
  </si>
  <si>
    <t>권한그룹</t>
    <phoneticPr fontId="2" type="noConversion"/>
  </si>
  <si>
    <t>롤코드</t>
    <phoneticPr fontId="2" type="noConversion"/>
  </si>
  <si>
    <t>C</t>
    <phoneticPr fontId="2" type="noConversion"/>
  </si>
  <si>
    <t>R</t>
    <phoneticPr fontId="2" type="noConversion"/>
  </si>
  <si>
    <t>U</t>
    <phoneticPr fontId="2" type="noConversion"/>
  </si>
  <si>
    <t>D</t>
    <phoneticPr fontId="2" type="noConversion"/>
  </si>
  <si>
    <t>E_DOWN</t>
    <phoneticPr fontId="2" type="noConversion"/>
  </si>
  <si>
    <t>E_UP</t>
    <phoneticPr fontId="2" type="noConversion"/>
  </si>
  <si>
    <t>ROLE_CD</t>
    <phoneticPr fontId="2" type="noConversion"/>
  </si>
  <si>
    <t>MARK</t>
    <phoneticPr fontId="2" type="noConversion"/>
  </si>
  <si>
    <t>4. 롤 유형 정리</t>
    <phoneticPr fontId="2" type="noConversion"/>
  </si>
  <si>
    <t>등록, 생성</t>
    <phoneticPr fontId="2" type="noConversion"/>
  </si>
  <si>
    <t>수정</t>
    <phoneticPr fontId="2" type="noConversion"/>
  </si>
  <si>
    <t>읽기</t>
    <phoneticPr fontId="2" type="noConversion"/>
  </si>
  <si>
    <t>삭제</t>
    <phoneticPr fontId="2" type="noConversion"/>
  </si>
  <si>
    <t>엑셀다운로드</t>
    <phoneticPr fontId="2" type="noConversion"/>
  </si>
  <si>
    <t>엑셀업로드</t>
    <phoneticPr fontId="2" type="noConversion"/>
  </si>
  <si>
    <t>마스킹 버튼 클릭</t>
    <phoneticPr fontId="2" type="noConversion"/>
  </si>
  <si>
    <t>.</t>
    <phoneticPr fontId="2" type="noConversion"/>
  </si>
  <si>
    <t>AUTHRT_CHG_SN (N10)</t>
    <phoneticPr fontId="2" type="noConversion"/>
  </si>
  <si>
    <t>김아무개</t>
    <phoneticPr fontId="2" type="noConversion"/>
  </si>
  <si>
    <t>GRP_정보화팀</t>
    <phoneticPr fontId="2" type="noConversion"/>
  </si>
  <si>
    <t>권한</t>
    <phoneticPr fontId="2" type="noConversion"/>
  </si>
  <si>
    <t>정보화_기본</t>
    <phoneticPr fontId="2" type="noConversion"/>
  </si>
  <si>
    <t>정보화+@@</t>
    <phoneticPr fontId="2" type="noConversion"/>
  </si>
  <si>
    <t>정보화+@</t>
    <phoneticPr fontId="2" type="noConversion"/>
  </si>
  <si>
    <t>정보화+@333@</t>
    <phoneticPr fontId="2" type="noConversion"/>
  </si>
  <si>
    <t>상위 권한</t>
    <phoneticPr fontId="2" type="noConversion"/>
  </si>
  <si>
    <t>권한코드</t>
    <phoneticPr fontId="2" type="noConversion"/>
  </si>
  <si>
    <t>메뉴일련번호</t>
    <phoneticPr fontId="2" type="noConversion"/>
  </si>
  <si>
    <t>정보화_메뉴1</t>
    <phoneticPr fontId="2" type="noConversion"/>
  </si>
  <si>
    <t>정보화_기본+@@</t>
    <phoneticPr fontId="2" type="noConversion"/>
  </si>
  <si>
    <t>C, R, U, D, UP, DOWN,MASKING</t>
    <phoneticPr fontId="2" type="noConversion"/>
  </si>
  <si>
    <t>부서명</t>
    <phoneticPr fontId="2" type="noConversion"/>
  </si>
  <si>
    <t>정보화팀</t>
  </si>
  <si>
    <t>정보화팀</t>
    <phoneticPr fontId="2" type="noConversion"/>
  </si>
  <si>
    <t>사원번호</t>
    <phoneticPr fontId="2" type="noConversion"/>
  </si>
  <si>
    <t>권안전</t>
    <phoneticPr fontId="2" type="noConversion"/>
  </si>
  <si>
    <t>오나라</t>
    <phoneticPr fontId="2" type="noConversion"/>
  </si>
  <si>
    <t>정보화+@@, 정보화_기본</t>
    <phoneticPr fontId="2" type="noConversion"/>
  </si>
  <si>
    <t>안팀장</t>
    <phoneticPr fontId="2" type="noConversion"/>
  </si>
  <si>
    <t>정보화_메뉴1, 정보화_메뉴2</t>
    <phoneticPr fontId="2" type="noConversion"/>
  </si>
  <si>
    <t>공통권한</t>
    <phoneticPr fontId="2" type="noConversion"/>
  </si>
  <si>
    <t>게시판읽기</t>
    <phoneticPr fontId="2" type="noConversion"/>
  </si>
  <si>
    <t>게시판쓰기</t>
    <phoneticPr fontId="2" type="noConversion"/>
  </si>
  <si>
    <t>게시판상세읽기</t>
    <phoneticPr fontId="2" type="noConversion"/>
  </si>
  <si>
    <t>게시판 마스킹해제</t>
    <phoneticPr fontId="2" type="noConversion"/>
  </si>
  <si>
    <t>메뉴1</t>
    <phoneticPr fontId="2" type="noConversion"/>
  </si>
  <si>
    <t>안전문가</t>
    <phoneticPr fontId="2" type="noConversion"/>
  </si>
  <si>
    <t>정팀장</t>
    <phoneticPr fontId="2" type="noConversion"/>
  </si>
  <si>
    <t>0001000000</t>
  </si>
  <si>
    <t>0001000001</t>
  </si>
  <si>
    <t>0001000002</t>
  </si>
  <si>
    <t>내용</t>
    <phoneticPr fontId="2" type="noConversion"/>
  </si>
  <si>
    <t>DESC (V1000)</t>
    <phoneticPr fontId="2" type="noConversion"/>
  </si>
  <si>
    <t>PIC</t>
    <phoneticPr fontId="2" type="noConversion"/>
  </si>
  <si>
    <t>EXP</t>
    <phoneticPr fontId="2" type="noConversion"/>
  </si>
  <si>
    <t>DEP</t>
    <phoneticPr fontId="2" type="noConversion"/>
  </si>
  <si>
    <t>MNU</t>
    <phoneticPr fontId="2" type="noConversion"/>
  </si>
  <si>
    <t>적용대상유형</t>
    <phoneticPr fontId="2" type="noConversion"/>
  </si>
  <si>
    <t>APLCN_TRGT_TYPE(C3)</t>
    <phoneticPr fontId="2" type="noConversion"/>
  </si>
  <si>
    <t>0001000003</t>
  </si>
  <si>
    <t>0001000004</t>
  </si>
  <si>
    <t>사원이름</t>
    <phoneticPr fontId="2" type="noConversion"/>
  </si>
  <si>
    <t>첨부파일 업로드</t>
    <phoneticPr fontId="2" type="noConversion"/>
  </si>
  <si>
    <t>첨부파일 다운로드</t>
    <phoneticPr fontId="2" type="noConversion"/>
  </si>
  <si>
    <t>권한 부여/변경</t>
    <phoneticPr fontId="2" type="noConversion"/>
  </si>
  <si>
    <t>권한 제거</t>
    <phoneticPr fontId="2" type="noConversion"/>
  </si>
  <si>
    <t>권한그룹, 권한에서 사용</t>
    <phoneticPr fontId="2" type="noConversion"/>
  </si>
  <si>
    <t>F_DOWN</t>
    <phoneticPr fontId="2" type="noConversion"/>
  </si>
  <si>
    <t>F_UP</t>
    <phoneticPr fontId="2" type="noConversion"/>
  </si>
  <si>
    <t>1. 부서권한 변경 이력 예시</t>
    <phoneticPr fontId="2" type="noConversion"/>
  </si>
  <si>
    <t>2025-12-22 23:33:00</t>
    <phoneticPr fontId="2" type="noConversion"/>
  </si>
  <si>
    <t>2025-12-02 11:01:43</t>
    <phoneticPr fontId="2" type="noConversion"/>
  </si>
  <si>
    <t>2025-12-01 08:09:88</t>
    <phoneticPr fontId="2" type="noConversion"/>
  </si>
  <si>
    <t>2025-11-26 08:09:88</t>
    <phoneticPr fontId="2" type="noConversion"/>
  </si>
  <si>
    <t>2025-11-22 11:01:43</t>
    <phoneticPr fontId="2" type="noConversion"/>
  </si>
  <si>
    <t>2025-10-23 14:59:60</t>
    <phoneticPr fontId="2" type="noConversion"/>
  </si>
  <si>
    <t>2025-09-22 23:33:01</t>
    <phoneticPr fontId="2" type="noConversion"/>
  </si>
  <si>
    <t>수정일자</t>
    <phoneticPr fontId="2" type="noConversion"/>
  </si>
  <si>
    <t>수정자</t>
    <phoneticPr fontId="2" type="noConversion"/>
  </si>
  <si>
    <t>MDFR_ID (V20)</t>
    <phoneticPr fontId="2" type="noConversion"/>
  </si>
  <si>
    <t>MDFCN_YMD (TIMESTAMP)</t>
    <phoneticPr fontId="2" type="noConversion"/>
  </si>
  <si>
    <t>2025-09-21 22:10:10</t>
    <phoneticPr fontId="2" type="noConversion"/>
  </si>
  <si>
    <t>2025-09-20 21:09:02</t>
    <phoneticPr fontId="2" type="noConversion"/>
  </si>
  <si>
    <t>2025-09-17 17:04:32</t>
    <phoneticPr fontId="2" type="noConversion"/>
  </si>
  <si>
    <t>부서권한 관리자</t>
    <phoneticPr fontId="2" type="noConversion"/>
  </si>
  <si>
    <t>담당자권한 관리자</t>
    <phoneticPr fontId="2" type="noConversion"/>
  </si>
  <si>
    <t>전문가권한 관리자</t>
    <phoneticPr fontId="2" type="noConversion"/>
  </si>
  <si>
    <t>2025-12-02 11:01:44</t>
    <phoneticPr fontId="2" type="noConversion"/>
  </si>
  <si>
    <t xml:space="preserve">STEP1. 부서 권한 추가 </t>
    <phoneticPr fontId="2" type="noConversion"/>
  </si>
  <si>
    <t>==&gt; '게시판쓰기' 권한을 '정보화팀'에게 부여</t>
    <phoneticPr fontId="2" type="noConversion"/>
  </si>
  <si>
    <t>==&gt; '정보화팀'에 소속되어 추가된 권한에 대한 담당자 이력 저장</t>
    <phoneticPr fontId="2" type="noConversion"/>
  </si>
  <si>
    <t>정보화+@@@</t>
    <phoneticPr fontId="2" type="noConversion"/>
  </si>
  <si>
    <t>김사원</t>
    <phoneticPr fontId="2" type="noConversion"/>
  </si>
  <si>
    <t>권대리</t>
    <phoneticPr fontId="2" type="noConversion"/>
  </si>
  <si>
    <t>오부장</t>
    <phoneticPr fontId="2" type="noConversion"/>
  </si>
  <si>
    <t>안차장</t>
    <phoneticPr fontId="2" type="noConversion"/>
  </si>
  <si>
    <t>정보화_기본, 정보화+@</t>
    <phoneticPr fontId="2" type="noConversion"/>
  </si>
  <si>
    <t>정보화_기본, 정보화+@, 정보화+@@</t>
    <phoneticPr fontId="2" type="noConversion"/>
  </si>
  <si>
    <t>0001000001</t>
    <phoneticPr fontId="2" type="noConversion"/>
  </si>
  <si>
    <t>STEP2. 해당 부서 담당자 권한 이력 업데이트</t>
    <phoneticPr fontId="2" type="noConversion"/>
  </si>
  <si>
    <t>-</t>
    <phoneticPr fontId="2" type="noConversion"/>
  </si>
  <si>
    <t>권한별메뉴 관리자</t>
    <phoneticPr fontId="2" type="noConversion"/>
  </si>
  <si>
    <t>0000192820</t>
    <phoneticPr fontId="2" type="noConversion"/>
  </si>
  <si>
    <t>0001000000</t>
    <phoneticPr fontId="2" type="noConversion"/>
  </si>
  <si>
    <t>관리자메뉴001</t>
    <phoneticPr fontId="2" type="noConversion"/>
  </si>
  <si>
    <t>파일업로드</t>
    <phoneticPr fontId="2" type="noConversion"/>
  </si>
  <si>
    <t>FILE</t>
    <phoneticPr fontId="2" type="noConversion"/>
  </si>
  <si>
    <t>ADD</t>
    <phoneticPr fontId="2" type="noConversion"/>
  </si>
  <si>
    <t>정보화_기본+@</t>
    <phoneticPr fontId="2" type="noConversion"/>
  </si>
  <si>
    <t>정보화_메뉴1, 정보화_메뉴2, 정보화_메뉴3</t>
    <phoneticPr fontId="2" type="noConversion"/>
  </si>
  <si>
    <t>정보화_기본+@@@</t>
    <phoneticPr fontId="2" type="noConversion"/>
  </si>
  <si>
    <t>정보화_메뉴1</t>
    <phoneticPr fontId="2" type="noConversion"/>
  </si>
  <si>
    <t>STEP2. 해당 권한ID 담당자 이력 업데이트</t>
    <phoneticPr fontId="2" type="noConversion"/>
  </si>
  <si>
    <t>BEFORE</t>
    <phoneticPr fontId="2" type="noConversion"/>
  </si>
  <si>
    <t>UP, DOWN, FILE</t>
    <phoneticPr fontId="2" type="noConversion"/>
  </si>
  <si>
    <t>UP, DOWN, MASKING, FILE</t>
    <phoneticPr fontId="2" type="noConversion"/>
  </si>
  <si>
    <t>AFTER</t>
    <phoneticPr fontId="2" type="noConversion"/>
  </si>
  <si>
    <t>==&gt; 롤을 FILE 로 수정</t>
    <phoneticPr fontId="2" type="noConversion"/>
  </si>
  <si>
    <t xml:space="preserve">STEP1. 권한별 메뉴 수정 이력 </t>
    <phoneticPr fontId="2" type="noConversion"/>
  </si>
  <si>
    <t>** 권한ID &amp; 메뉴ID는 PK값으로 고유함, 변경불가.</t>
    <phoneticPr fontId="2" type="noConversion"/>
  </si>
  <si>
    <t>==&gt; '정보화_기본'&amp;'정보화_메뉴1' 권한 가진 담당자 이력 저장</t>
    <phoneticPr fontId="2" type="noConversion"/>
  </si>
  <si>
    <t>정보화_게시판1</t>
    <phoneticPr fontId="2" type="noConversion"/>
  </si>
  <si>
    <t>게시판 관리자</t>
    <phoneticPr fontId="2" type="noConversion"/>
  </si>
  <si>
    <t>정보화_게시판1</t>
    <phoneticPr fontId="2" type="noConversion"/>
  </si>
  <si>
    <t>STEP1. 게시판 권한 추가, 삭제</t>
    <phoneticPr fontId="2" type="noConversion"/>
  </si>
  <si>
    <t>정보화_관리자</t>
    <phoneticPr fontId="2" type="noConversion"/>
  </si>
  <si>
    <t>정보화_담당자</t>
    <phoneticPr fontId="2" type="noConversion"/>
  </si>
  <si>
    <t>0000192822</t>
    <phoneticPr fontId="2" type="noConversion"/>
  </si>
  <si>
    <t>0000192821</t>
    <phoneticPr fontId="2" type="noConversion"/>
  </si>
  <si>
    <t>0000192820</t>
    <phoneticPr fontId="2" type="noConversion"/>
  </si>
  <si>
    <t>2025-12-02 11:01:44</t>
  </si>
  <si>
    <t>2025-12-02 11:01:45</t>
    <phoneticPr fontId="2" type="noConversion"/>
  </si>
  <si>
    <t>정보화_최고관리자</t>
    <phoneticPr fontId="2" type="noConversion"/>
  </si>
  <si>
    <t>==&gt; 권한 가진 담당자 이력 저장</t>
    <phoneticPr fontId="2" type="noConversion"/>
  </si>
  <si>
    <t>STEP1. 권한그룹 사용여부 변경 이력 저장</t>
    <phoneticPr fontId="2" type="noConversion"/>
  </si>
  <si>
    <t>권한 관리자</t>
    <phoneticPr fontId="2" type="noConversion"/>
  </si>
  <si>
    <t>GRP_DUR팀</t>
    <phoneticPr fontId="2" type="noConversion"/>
  </si>
  <si>
    <t>GRP_신규권한그룹</t>
    <phoneticPr fontId="2" type="noConversion"/>
  </si>
  <si>
    <t>STEP2. 해당 권한그룹 하위 권한 이력 업데이트</t>
    <phoneticPr fontId="2" type="noConversion"/>
  </si>
  <si>
    <t>0001000003</t>
    <phoneticPr fontId="2" type="noConversion"/>
  </si>
  <si>
    <t>0001000002</t>
    <phoneticPr fontId="2" type="noConversion"/>
  </si>
  <si>
    <t>0000999999</t>
  </si>
  <si>
    <t>0000999998</t>
  </si>
  <si>
    <t>0000999997</t>
  </si>
  <si>
    <t>0000999996</t>
  </si>
  <si>
    <t>0000999995</t>
  </si>
  <si>
    <t>DUR_기본</t>
    <phoneticPr fontId="2" type="noConversion"/>
  </si>
  <si>
    <t>DUR_담당자</t>
    <phoneticPr fontId="2" type="noConversion"/>
  </si>
  <si>
    <t>DUR_관리자</t>
    <phoneticPr fontId="2" type="noConversion"/>
  </si>
  <si>
    <t>유사원</t>
    <phoneticPr fontId="2" type="noConversion"/>
  </si>
  <si>
    <t>유담당</t>
    <phoneticPr fontId="2" type="noConversion"/>
  </si>
  <si>
    <t>유당담</t>
    <phoneticPr fontId="2" type="noConversion"/>
  </si>
  <si>
    <t>유관리</t>
    <phoneticPr fontId="2" type="noConversion"/>
  </si>
  <si>
    <t>신규_기본</t>
    <phoneticPr fontId="2" type="noConversion"/>
  </si>
  <si>
    <t>신규_담당자</t>
    <phoneticPr fontId="2" type="noConversion"/>
  </si>
  <si>
    <t>신규_관리자</t>
    <phoneticPr fontId="2" type="noConversion"/>
  </si>
  <si>
    <t>0000999994</t>
  </si>
  <si>
    <t>0000999993</t>
  </si>
  <si>
    <t>0000999992</t>
  </si>
  <si>
    <t>0000999991</t>
  </si>
  <si>
    <t>신사원</t>
    <phoneticPr fontId="2" type="noConversion"/>
  </si>
  <si>
    <t>신담당</t>
    <phoneticPr fontId="2" type="noConversion"/>
  </si>
  <si>
    <t>심당담</t>
    <phoneticPr fontId="2" type="noConversion"/>
  </si>
  <si>
    <t>담신당</t>
    <phoneticPr fontId="2" type="noConversion"/>
  </si>
  <si>
    <t>신관리</t>
    <phoneticPr fontId="2" type="noConversion"/>
  </si>
  <si>
    <t>신리관</t>
    <phoneticPr fontId="2" type="noConversion"/>
  </si>
  <si>
    <t>BAT</t>
    <phoneticPr fontId="2" type="noConversion"/>
  </si>
  <si>
    <t>부서권한A</t>
    <phoneticPr fontId="2" type="noConversion"/>
  </si>
  <si>
    <t>박신입</t>
    <phoneticPr fontId="2" type="noConversion"/>
  </si>
  <si>
    <t>인사배치 시스템</t>
    <phoneticPr fontId="2" type="noConversion"/>
  </si>
  <si>
    <t>2025-12-02 00:00:01</t>
    <phoneticPr fontId="2" type="noConversion"/>
  </si>
  <si>
    <t>0000999998</t>
    <phoneticPr fontId="2" type="noConversion"/>
  </si>
  <si>
    <t>0000999997</t>
    <phoneticPr fontId="2" type="noConversion"/>
  </si>
  <si>
    <t>0000999990</t>
  </si>
  <si>
    <t>0000999989</t>
  </si>
  <si>
    <t>0000999988</t>
  </si>
  <si>
    <t>0000999987</t>
  </si>
  <si>
    <t>0000999986</t>
  </si>
  <si>
    <t>0000999985</t>
  </si>
  <si>
    <t>0000999984</t>
  </si>
  <si>
    <t>0000999983</t>
  </si>
  <si>
    <t>0000999982</t>
  </si>
  <si>
    <t>0000999981</t>
  </si>
  <si>
    <t>0000999980</t>
  </si>
  <si>
    <t>0000999979</t>
  </si>
  <si>
    <t>0000999978</t>
  </si>
  <si>
    <t>0000999977</t>
  </si>
  <si>
    <t>0000999976</t>
  </si>
  <si>
    <t>0000999975</t>
  </si>
  <si>
    <t>0000999974</t>
  </si>
  <si>
    <t>0000999973</t>
  </si>
  <si>
    <t>0000999972</t>
  </si>
  <si>
    <t>0000999971</t>
  </si>
  <si>
    <t>0000999970</t>
  </si>
  <si>
    <t>0000999969</t>
  </si>
  <si>
    <t>0000999968</t>
  </si>
  <si>
    <t>0000999967</t>
  </si>
  <si>
    <t>0000999966</t>
  </si>
  <si>
    <t>0000999965</t>
  </si>
  <si>
    <t>0000999964</t>
  </si>
  <si>
    <t>0000999963</t>
  </si>
  <si>
    <t>0000999962</t>
  </si>
  <si>
    <t>0000999961</t>
  </si>
  <si>
    <t>0000999960</t>
  </si>
  <si>
    <t>0000999959</t>
  </si>
  <si>
    <t>0000999958</t>
  </si>
  <si>
    <t>0000999957</t>
  </si>
  <si>
    <t>0000999956</t>
  </si>
  <si>
    <t>0000999955</t>
  </si>
  <si>
    <t>0000999954</t>
  </si>
  <si>
    <t>0000999953</t>
  </si>
  <si>
    <t>0000999952</t>
  </si>
  <si>
    <t>0000999951</t>
  </si>
  <si>
    <t>0000999950</t>
  </si>
  <si>
    <t>김재직</t>
    <phoneticPr fontId="2" type="noConversion"/>
  </si>
  <si>
    <t>인사배치 시스템</t>
    <phoneticPr fontId="2" type="noConversion"/>
  </si>
  <si>
    <t>3. 권한별 메뉴 변경 이력 예시</t>
    <phoneticPr fontId="2" type="noConversion"/>
  </si>
  <si>
    <t>4. 게시판 권한 변경 이력 예시</t>
    <phoneticPr fontId="2" type="noConversion"/>
  </si>
  <si>
    <t>5. 권한그룹 사용변경 이력 예시</t>
    <phoneticPr fontId="2" type="noConversion"/>
  </si>
  <si>
    <t>2. 전문가권한 관리 변경 이력 예시</t>
    <phoneticPr fontId="2" type="noConversion"/>
  </si>
  <si>
    <t>2-1. 기업 업무</t>
    <phoneticPr fontId="2" type="noConversion"/>
  </si>
  <si>
    <t>STEP1. 기업 업무 부여</t>
    <phoneticPr fontId="2" type="noConversion"/>
  </si>
  <si>
    <t>ADD</t>
    <phoneticPr fontId="2" type="noConversion"/>
  </si>
  <si>
    <t>EXP</t>
  </si>
  <si>
    <t>EXP</t>
    <phoneticPr fontId="2" type="noConversion"/>
  </si>
  <si>
    <t>COM</t>
    <phoneticPr fontId="2" type="noConversion"/>
  </si>
  <si>
    <t>기업</t>
    <phoneticPr fontId="2" type="noConversion"/>
  </si>
  <si>
    <t>OO제약</t>
    <phoneticPr fontId="2" type="noConversion"/>
  </si>
  <si>
    <t>OO제약 기본권한</t>
  </si>
  <si>
    <t>OO제약 기본권한</t>
    <phoneticPr fontId="2" type="noConversion"/>
  </si>
  <si>
    <t>DEL</t>
    <phoneticPr fontId="2" type="noConversion"/>
  </si>
  <si>
    <t>전문가관리 담당자</t>
    <phoneticPr fontId="2" type="noConversion"/>
  </si>
  <si>
    <t>2025-12-07 23:59:01</t>
    <phoneticPr fontId="2" type="noConversion"/>
  </si>
  <si>
    <t>2025-12-07 20:23:44</t>
    <phoneticPr fontId="2" type="noConversion"/>
  </si>
  <si>
    <t>전문가이름</t>
    <phoneticPr fontId="2" type="noConversion"/>
  </si>
  <si>
    <t>소속 기관/기업</t>
    <phoneticPr fontId="2" type="noConversion"/>
  </si>
  <si>
    <t>김에이</t>
  </si>
  <si>
    <t>김에이</t>
    <phoneticPr fontId="2" type="noConversion"/>
  </si>
  <si>
    <t>이비비</t>
  </si>
  <si>
    <t>이비비</t>
    <phoneticPr fontId="2" type="noConversion"/>
  </si>
  <si>
    <t>권씨씨</t>
  </si>
  <si>
    <t>권씨씨</t>
    <phoneticPr fontId="2" type="noConversion"/>
  </si>
  <si>
    <t>남디디</t>
  </si>
  <si>
    <t>남디디</t>
    <phoneticPr fontId="2" type="noConversion"/>
  </si>
  <si>
    <t>2025-12-07 23:59:03</t>
    <phoneticPr fontId="2" type="noConversion"/>
  </si>
  <si>
    <t>STEP2. 해당 기업 소속 전문가 이력 부여/삭제</t>
    <phoneticPr fontId="2" type="noConversion"/>
  </si>
  <si>
    <t>2025-12-07 20:23:45</t>
    <phoneticPr fontId="2" type="noConversion"/>
  </si>
  <si>
    <t>0000192818</t>
  </si>
  <si>
    <t>OO제약 관리자</t>
    <phoneticPr fontId="2" type="noConversion"/>
  </si>
  <si>
    <t>2025-12-05 23:59:01</t>
  </si>
  <si>
    <t>2025-12-05 23:59:01</t>
    <phoneticPr fontId="2" type="noConversion"/>
  </si>
  <si>
    <t>2025-12-05 23:59:02</t>
  </si>
  <si>
    <t>2025-12-05 23:59:00</t>
  </si>
  <si>
    <t>2-2. 전문가 업무 부여/제거</t>
    <phoneticPr fontId="2" type="noConversion"/>
  </si>
  <si>
    <t>2-3. 전문가 회원 탈퇴</t>
    <phoneticPr fontId="2" type="noConversion"/>
  </si>
  <si>
    <t>0000192819</t>
    <phoneticPr fontId="2" type="noConversion"/>
  </si>
  <si>
    <t>0000192820</t>
    <phoneticPr fontId="2" type="noConversion"/>
  </si>
  <si>
    <t>-</t>
    <phoneticPr fontId="2" type="noConversion"/>
  </si>
  <si>
    <t>[전문가권한] 이비비, 전문가탈퇴</t>
    <phoneticPr fontId="2" type="noConversion"/>
  </si>
  <si>
    <t>기업 업무</t>
    <phoneticPr fontId="2" type="noConversion"/>
  </si>
  <si>
    <t>전문가 업무</t>
    <phoneticPr fontId="2" type="noConversion"/>
  </si>
  <si>
    <t>내 업무(회원관리)</t>
    <phoneticPr fontId="2" type="noConversion"/>
  </si>
  <si>
    <t>2-4. 내 업무(회원관리)</t>
    <phoneticPr fontId="2" type="noConversion"/>
  </si>
  <si>
    <t>0000000110</t>
    <phoneticPr fontId="2" type="noConversion"/>
  </si>
  <si>
    <t>□□병원 관리자</t>
    <phoneticPr fontId="2" type="noConversion"/>
  </si>
  <si>
    <t>원관리</t>
    <phoneticPr fontId="2" type="noConversion"/>
  </si>
  <si>
    <t>APRV</t>
    <phoneticPr fontId="2" type="noConversion"/>
  </si>
  <si>
    <t>PEND</t>
    <phoneticPr fontId="2" type="noConversion"/>
  </si>
  <si>
    <t>승인</t>
    <phoneticPr fontId="2" type="noConversion"/>
  </si>
  <si>
    <t>반려</t>
    <phoneticPr fontId="2" type="noConversion"/>
  </si>
  <si>
    <t>보류/승인대기</t>
    <phoneticPr fontId="2" type="noConversion"/>
  </si>
  <si>
    <t>코드명</t>
    <phoneticPr fontId="2" type="noConversion"/>
  </si>
  <si>
    <t>승인 상태코드</t>
    <phoneticPr fontId="2" type="noConversion"/>
  </si>
  <si>
    <t>별도 코드 필요여부 확인</t>
    <phoneticPr fontId="2" type="noConversion"/>
  </si>
  <si>
    <t>REJC</t>
    <phoneticPr fontId="2" type="noConversion"/>
  </si>
  <si>
    <t>양병원</t>
    <phoneticPr fontId="2" type="noConversion"/>
  </si>
  <si>
    <t>변원장</t>
    <phoneticPr fontId="2" type="noConversion"/>
  </si>
  <si>
    <t>0000000109</t>
    <phoneticPr fontId="2" type="noConversion"/>
  </si>
  <si>
    <t>0000000108</t>
  </si>
  <si>
    <t>2025-12-03 22:10:22</t>
    <phoneticPr fontId="2" type="noConversion"/>
  </si>
  <si>
    <t>2025-12-02 09:22:12</t>
    <phoneticPr fontId="2" type="noConversion"/>
  </si>
  <si>
    <t>2025-12-01 15:59:03</t>
    <phoneticPr fontId="2" type="noConversion"/>
  </si>
  <si>
    <t>2025-12-06 00:05:03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</si>
</sst>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b/>
      <sz val="16"/>
      <color theme="0" tint="-4.9989318521683403E-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>
      <alignment vertical="center"/>
    </xf>
    <xf numFmtId="0" fontId="10" fillId="0" borderId="8" xfId="1" applyBorder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0" borderId="15" xfId="0" quotePrefix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5" fillId="5" borderId="16" xfId="0" applyNumberFormat="1" applyFont="1" applyFill="1" applyBorder="1" applyAlignment="1">
      <alignment horizontal="center" vertical="center"/>
    </xf>
    <xf numFmtId="49" fontId="5" fillId="5" borderId="10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5" borderId="23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6" xfId="0" applyFill="1" applyBorder="1" applyAlignment="1">
      <alignment vertical="center"/>
    </xf>
    <xf numFmtId="49" fontId="8" fillId="0" borderId="24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49" fontId="5" fillId="5" borderId="15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49" fontId="5" fillId="5" borderId="9" xfId="0" applyNumberFormat="1" applyFon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5" xfId="0" quotePrefix="1" applyFill="1" applyBorder="1" applyAlignment="1">
      <alignment horizontal="center" vertical="center"/>
    </xf>
    <xf numFmtId="0" fontId="0" fillId="0" borderId="25" xfId="0" applyFill="1" applyBorder="1" applyAlignment="1">
      <alignment vertical="center"/>
    </xf>
    <xf numFmtId="49" fontId="0" fillId="0" borderId="25" xfId="0" applyNumberFormat="1" applyFill="1" applyBorder="1" applyAlignment="1">
      <alignment horizontal="center" vertical="center"/>
    </xf>
    <xf numFmtId="49" fontId="0" fillId="0" borderId="19" xfId="0" applyNumberFormat="1" applyFill="1" applyBorder="1" applyAlignment="1">
      <alignment horizontal="center" vertical="center"/>
    </xf>
    <xf numFmtId="49" fontId="5" fillId="5" borderId="22" xfId="0" applyNumberFormat="1" applyFon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/>
    </xf>
    <xf numFmtId="0" fontId="0" fillId="0" borderId="16" xfId="0" quotePrefix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49" fontId="11" fillId="6" borderId="5" xfId="0" applyNumberFormat="1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4" fillId="6" borderId="15" xfId="0" quotePrefix="1" applyFont="1" applyFill="1" applyBorder="1" applyAlignment="1">
      <alignment horizontal="center" vertical="center"/>
    </xf>
    <xf numFmtId="0" fontId="0" fillId="6" borderId="15" xfId="0" applyFill="1" applyBorder="1" applyAlignment="1">
      <alignment vertical="center"/>
    </xf>
    <xf numFmtId="49" fontId="0" fillId="6" borderId="15" xfId="0" applyNumberFormat="1" applyFill="1" applyBorder="1" applyAlignment="1">
      <alignment horizontal="center" vertical="center"/>
    </xf>
    <xf numFmtId="49" fontId="0" fillId="6" borderId="6" xfId="0" applyNumberFormat="1" applyFill="1" applyBorder="1" applyAlignment="1">
      <alignment horizontal="center" vertical="center"/>
    </xf>
    <xf numFmtId="49" fontId="11" fillId="6" borderId="7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quotePrefix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8" xfId="0" applyNumberFormat="1" applyFill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0" xfId="0" quotePrefix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49" fontId="0" fillId="0" borderId="15" xfId="0" applyNumberFormat="1" applyFill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49" fontId="8" fillId="0" borderId="20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26" xfId="0" applyFill="1" applyBorder="1">
      <alignment vertical="center"/>
    </xf>
    <xf numFmtId="0" fontId="0" fillId="3" borderId="7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10" xfId="0" applyFill="1" applyBorder="1">
      <alignment vertical="center"/>
    </xf>
    <xf numFmtId="0" fontId="7" fillId="0" borderId="15" xfId="0" quotePrefix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center" vertical="center"/>
    </xf>
    <xf numFmtId="0" fontId="14" fillId="0" borderId="16" xfId="0" quotePrefix="1" applyFont="1" applyFill="1" applyBorder="1" applyAlignment="1">
      <alignment horizontal="center" vertical="center"/>
    </xf>
    <xf numFmtId="49" fontId="11" fillId="0" borderId="1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quotePrefix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12" xfId="0" applyNumberForma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49" fontId="0" fillId="0" borderId="13" xfId="0" applyNumberForma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quotePrefix="1" applyFill="1" applyBorder="1" applyAlignment="1">
      <alignment horizontal="center" vertical="center"/>
    </xf>
    <xf numFmtId="0" fontId="0" fillId="6" borderId="17" xfId="0" quotePrefix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center" vertical="center"/>
    </xf>
    <xf numFmtId="49" fontId="0" fillId="0" borderId="14" xfId="0" applyNumberFormat="1" applyFill="1" applyBorder="1" applyAlignment="1">
      <alignment horizontal="center" vertical="center"/>
    </xf>
    <xf numFmtId="0" fontId="8" fillId="0" borderId="0" xfId="0" applyFont="1">
      <alignment vertical="center"/>
    </xf>
    <xf numFmtId="0" fontId="7" fillId="6" borderId="3" xfId="0" quotePrefix="1" applyFont="1" applyFill="1" applyBorder="1" applyAlignment="1">
      <alignment horizontal="center" vertical="center"/>
    </xf>
    <xf numFmtId="0" fontId="7" fillId="6" borderId="1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49" fontId="11" fillId="0" borderId="9" xfId="0" applyNumberFormat="1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6" xfId="0" quotePrefix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8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26" xfId="0" applyFill="1" applyBorder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quotePrefix="1" applyFill="1" applyBorder="1" applyAlignment="1">
      <alignment horizontal="center" vertical="center"/>
    </xf>
    <xf numFmtId="0" fontId="0" fillId="0" borderId="6" xfId="0" quotePrefix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49" fontId="5" fillId="5" borderId="15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9" xfId="0" applyNumberFormat="1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0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49" fontId="7" fillId="0" borderId="12" xfId="0" applyNumberFormat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7" fillId="0" borderId="3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1" fillId="0" borderId="12" xfId="0" quotePrefix="1" applyFont="1" applyFill="1" applyBorder="1" applyAlignment="1">
      <alignment horizontal="center" vertical="center"/>
    </xf>
    <xf numFmtId="0" fontId="0" fillId="0" borderId="10" xfId="0" quotePrefix="1" applyFill="1" applyBorder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7" fillId="4" borderId="15" xfId="0" quotePrefix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49" fontId="0" fillId="4" borderId="15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11" fillId="4" borderId="7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49" fontId="0" fillId="7" borderId="6" xfId="0" applyNumberFormat="1" applyFill="1" applyBorder="1" applyAlignment="1">
      <alignment horizontal="center" vertical="center"/>
    </xf>
    <xf numFmtId="49" fontId="11" fillId="7" borderId="7" xfId="0" applyNumberFormat="1" applyFont="1" applyFill="1" applyBorder="1" applyAlignment="1">
      <alignment horizontal="center" vertical="center"/>
    </xf>
    <xf numFmtId="0" fontId="7" fillId="7" borderId="1" xfId="0" quotePrefix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8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0" fontId="0" fillId="4" borderId="15" xfId="0" quotePrefix="1" applyFill="1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6" xfId="0" quotePrefix="1" applyFill="1" applyBorder="1" applyAlignment="1">
      <alignment horizontal="center" vertical="center"/>
    </xf>
    <xf numFmtId="0" fontId="0" fillId="7" borderId="16" xfId="0" applyFill="1" applyBorder="1" applyAlignment="1">
      <alignment horizontal="left" vertical="center"/>
    </xf>
    <xf numFmtId="49" fontId="0" fillId="7" borderId="16" xfId="0" applyNumberFormat="1" applyFill="1" applyBorder="1" applyAlignment="1">
      <alignment horizontal="center" vertical="center"/>
    </xf>
    <xf numFmtId="49" fontId="0" fillId="7" borderId="10" xfId="0" applyNumberFormat="1" applyFill="1" applyBorder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/>
    </xf>
    <xf numFmtId="0" fontId="0" fillId="7" borderId="16" xfId="0" applyFill="1" applyBorder="1" applyAlignment="1">
      <alignment vertical="center"/>
    </xf>
    <xf numFmtId="49" fontId="0" fillId="4" borderId="9" xfId="0" applyNumberFormat="1" applyFill="1" applyBorder="1" applyAlignment="1">
      <alignment horizontal="center" vertical="center"/>
    </xf>
    <xf numFmtId="0" fontId="0" fillId="4" borderId="16" xfId="0" quotePrefix="1" applyFill="1" applyBorder="1" applyAlignment="1">
      <alignment horizontal="center" vertical="center"/>
    </xf>
    <xf numFmtId="0" fontId="0" fillId="4" borderId="16" xfId="0" applyFill="1" applyBorder="1" applyAlignment="1">
      <alignment vertical="center"/>
    </xf>
    <xf numFmtId="49" fontId="0" fillId="4" borderId="10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>
      <alignment vertical="center"/>
    </xf>
    <xf numFmtId="49" fontId="0" fillId="7" borderId="5" xfId="0" applyNumberFormat="1" applyFill="1" applyBorder="1" applyAlignment="1">
      <alignment horizontal="center" vertical="center"/>
    </xf>
    <xf numFmtId="0" fontId="0" fillId="7" borderId="15" xfId="0" quotePrefix="1" applyFill="1" applyBorder="1" applyAlignment="1">
      <alignment horizontal="center" vertical="center"/>
    </xf>
    <xf numFmtId="0" fontId="0" fillId="7" borderId="15" xfId="0" applyFill="1" applyBorder="1" applyAlignment="1">
      <alignment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0" fontId="0" fillId="7" borderId="15" xfId="0" applyFill="1" applyBorder="1">
      <alignment vertical="center"/>
    </xf>
    <xf numFmtId="49" fontId="0" fillId="7" borderId="13" xfId="0" applyNumberForma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7" xfId="0" quotePrefix="1" applyFill="1" applyBorder="1" applyAlignment="1">
      <alignment horizontal="center" vertical="center"/>
    </xf>
    <xf numFmtId="0" fontId="0" fillId="7" borderId="17" xfId="0" applyFill="1" applyBorder="1" applyAlignment="1">
      <alignment vertical="center"/>
    </xf>
    <xf numFmtId="49" fontId="0" fillId="7" borderId="14" xfId="0" applyNumberForma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49" fontId="0" fillId="10" borderId="9" xfId="0" applyNumberForma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6" xfId="0" applyFill="1" applyBorder="1">
      <alignment vertical="center"/>
    </xf>
    <xf numFmtId="49" fontId="0" fillId="10" borderId="10" xfId="0" applyNumberForma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8" fillId="0" borderId="27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2203824</xdr:colOff>
      <xdr:row>47</xdr:row>
      <xdr:rowOff>201707</xdr:rowOff>
    </xdr:from>
    <xdr:to>
      <xdr:col>4</xdr:col>
      <xdr:colOff>29882</xdr:colOff>
      <xdr:row>49</xdr:row>
      <xdr:rowOff>29883</xdr:rowOff>
    </xdr:to>
    <xdr:sp macro="" textlink="">
      <xdr:nvSpPr>
        <xdr:cNvPr id="30" name="직사각형 29"/>
        <xdr:cNvSpPr/>
      </xdr:nvSpPr>
      <xdr:spPr>
        <a:xfrm>
          <a:off x="4669118" y="10944413"/>
          <a:ext cx="1800411" cy="261470"/>
        </a:xfrm>
        <a:prstGeom prst="rect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4818903</xdr:colOff>
      <xdr:row>26</xdr:row>
      <xdr:rowOff>179573</xdr:rowOff>
    </xdr:from>
    <xdr:to>
      <xdr:col>11</xdr:col>
      <xdr:colOff>52294</xdr:colOff>
      <xdr:row>28</xdr:row>
      <xdr:rowOff>51921</xdr:rowOff>
    </xdr:to>
    <xdr:sp macro="" textlink="">
      <xdr:nvSpPr>
        <xdr:cNvPr id="32" name="직사각형 31"/>
        <xdr:cNvSpPr/>
      </xdr:nvSpPr>
      <xdr:spPr>
        <a:xfrm>
          <a:off x="20297962" y="6170985"/>
          <a:ext cx="3518273" cy="313112"/>
        </a:xfrm>
        <a:prstGeom prst="rect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44450</xdr:colOff>
      <xdr:row>27</xdr:row>
      <xdr:rowOff>119482</xdr:rowOff>
    </xdr:from>
    <xdr:to>
      <xdr:col>8</xdr:col>
      <xdr:colOff>4818903</xdr:colOff>
      <xdr:row>35</xdr:row>
      <xdr:rowOff>114626</xdr:rowOff>
    </xdr:to>
    <xdr:cxnSp macro="">
      <xdr:nvCxnSpPr>
        <xdr:cNvPr id="34" name="직선 화살표 연결선 33"/>
        <xdr:cNvCxnSpPr>
          <a:stCxn id="32" idx="1"/>
          <a:endCxn id="46" idx="3"/>
        </xdr:cNvCxnSpPr>
      </xdr:nvCxnSpPr>
      <xdr:spPr>
        <a:xfrm flipH="1">
          <a:off x="13200156" y="6327541"/>
          <a:ext cx="7097806" cy="1885203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620060</xdr:colOff>
      <xdr:row>56</xdr:row>
      <xdr:rowOff>201706</xdr:rowOff>
    </xdr:from>
    <xdr:to>
      <xdr:col>9</xdr:col>
      <xdr:colOff>57151</xdr:colOff>
      <xdr:row>61</xdr:row>
      <xdr:rowOff>29882</xdr:rowOff>
    </xdr:to>
    <xdr:sp macro="" textlink="">
      <xdr:nvSpPr>
        <xdr:cNvPr id="40" name="직사각형 39"/>
        <xdr:cNvSpPr/>
      </xdr:nvSpPr>
      <xdr:spPr>
        <a:xfrm>
          <a:off x="620060" y="12894235"/>
          <a:ext cx="19764562" cy="911412"/>
        </a:xfrm>
        <a:prstGeom prst="rect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870324</xdr:colOff>
      <xdr:row>36</xdr:row>
      <xdr:rowOff>50800</xdr:rowOff>
    </xdr:from>
    <xdr:to>
      <xdr:col>6</xdr:col>
      <xdr:colOff>115607</xdr:colOff>
      <xdr:row>47</xdr:row>
      <xdr:rowOff>201707</xdr:rowOff>
    </xdr:to>
    <xdr:cxnSp macro="">
      <xdr:nvCxnSpPr>
        <xdr:cNvPr id="41" name="직선 화살표 연결선 40"/>
        <xdr:cNvCxnSpPr>
          <a:stCxn id="46" idx="2"/>
          <a:endCxn id="30" idx="0"/>
        </xdr:cNvCxnSpPr>
      </xdr:nvCxnSpPr>
      <xdr:spPr>
        <a:xfrm flipH="1">
          <a:off x="5569324" y="8373035"/>
          <a:ext cx="5729754" cy="2571378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870324</xdr:colOff>
      <xdr:row>49</xdr:row>
      <xdr:rowOff>29883</xdr:rowOff>
    </xdr:from>
    <xdr:to>
      <xdr:col>5</xdr:col>
      <xdr:colOff>1066988</xdr:colOff>
      <xdr:row>56</xdr:row>
      <xdr:rowOff>201706</xdr:rowOff>
    </xdr:to>
    <xdr:cxnSp macro="">
      <xdr:nvCxnSpPr>
        <xdr:cNvPr id="42" name="직선 화살표 연결선 41"/>
        <xdr:cNvCxnSpPr>
          <a:stCxn id="30" idx="2"/>
          <a:endCxn id="40" idx="0"/>
        </xdr:cNvCxnSpPr>
      </xdr:nvCxnSpPr>
      <xdr:spPr>
        <a:xfrm>
          <a:off x="5569324" y="11205883"/>
          <a:ext cx="4933017" cy="1688352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2958353</xdr:colOff>
      <xdr:row>34</xdr:row>
      <xdr:rowOff>178452</xdr:rowOff>
    </xdr:from>
    <xdr:to>
      <xdr:col>7</xdr:col>
      <xdr:colOff>44450</xdr:colOff>
      <xdr:row>36</xdr:row>
      <xdr:rowOff>50800</xdr:rowOff>
    </xdr:to>
    <xdr:sp macro="" textlink="">
      <xdr:nvSpPr>
        <xdr:cNvPr id="46" name="직사각형 45"/>
        <xdr:cNvSpPr/>
      </xdr:nvSpPr>
      <xdr:spPr>
        <a:xfrm>
          <a:off x="9398000" y="8052452"/>
          <a:ext cx="3802156" cy="320583"/>
        </a:xfrm>
        <a:prstGeom prst="rect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1092200</xdr:colOff>
      <xdr:row>16</xdr:row>
      <xdr:rowOff>209550</xdr:rowOff>
    </xdr:from>
    <xdr:to>
      <xdr:col>9</xdr:col>
      <xdr:colOff>50800</xdr:colOff>
      <xdr:row>18</xdr:row>
      <xdr:rowOff>25400</xdr:rowOff>
    </xdr:to>
    <xdr:sp macro="" textlink="">
      <xdr:nvSpPr>
        <xdr:cNvPr id="8" name="직사각형 7"/>
        <xdr:cNvSpPr/>
      </xdr:nvSpPr>
      <xdr:spPr>
        <a:xfrm>
          <a:off x="13455650" y="3987800"/>
          <a:ext cx="3028950" cy="2603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2540000</xdr:colOff>
      <xdr:row>26</xdr:row>
      <xdr:rowOff>190500</xdr:rowOff>
    </xdr:from>
    <xdr:to>
      <xdr:col>4</xdr:col>
      <xdr:colOff>31750</xdr:colOff>
      <xdr:row>28</xdr:row>
      <xdr:rowOff>38100</xdr:rowOff>
    </xdr:to>
    <xdr:sp macro="" textlink="">
      <xdr:nvSpPr>
        <xdr:cNvPr id="9" name="직사각형 8"/>
        <xdr:cNvSpPr/>
      </xdr:nvSpPr>
      <xdr:spPr>
        <a:xfrm>
          <a:off x="4965700" y="6286500"/>
          <a:ext cx="1758950" cy="292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1898650</xdr:colOff>
      <xdr:row>26</xdr:row>
      <xdr:rowOff>184150</xdr:rowOff>
    </xdr:from>
    <xdr:to>
      <xdr:col>7</xdr:col>
      <xdr:colOff>25400</xdr:colOff>
      <xdr:row>28</xdr:row>
      <xdr:rowOff>31750</xdr:rowOff>
    </xdr:to>
    <xdr:sp macro="" textlink="">
      <xdr:nvSpPr>
        <xdr:cNvPr id="12" name="직사각형 11"/>
        <xdr:cNvSpPr/>
      </xdr:nvSpPr>
      <xdr:spPr>
        <a:xfrm>
          <a:off x="10096500" y="6280150"/>
          <a:ext cx="2292350" cy="292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622300</xdr:colOff>
      <xdr:row>35</xdr:row>
      <xdr:rowOff>184150</xdr:rowOff>
    </xdr:from>
    <xdr:to>
      <xdr:col>11</xdr:col>
      <xdr:colOff>44450</xdr:colOff>
      <xdr:row>40</xdr:row>
      <xdr:rowOff>31750</xdr:rowOff>
    </xdr:to>
    <xdr:sp macro="" textlink="">
      <xdr:nvSpPr>
        <xdr:cNvPr id="13" name="직사각형 12"/>
        <xdr:cNvSpPr/>
      </xdr:nvSpPr>
      <xdr:spPr>
        <a:xfrm>
          <a:off x="622300" y="8362950"/>
          <a:ext cx="18815050" cy="9334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28575</xdr:colOff>
      <xdr:row>28</xdr:row>
      <xdr:rowOff>31750</xdr:rowOff>
    </xdr:from>
    <xdr:to>
      <xdr:col>6</xdr:col>
      <xdr:colOff>1127125</xdr:colOff>
      <xdr:row>35</xdr:row>
      <xdr:rowOff>184150</xdr:rowOff>
    </xdr:to>
    <xdr:cxnSp macro="">
      <xdr:nvCxnSpPr>
        <xdr:cNvPr id="15" name="직선 화살표 연결선 9"/>
        <xdr:cNvCxnSpPr>
          <a:stCxn id="12" idx="2"/>
          <a:endCxn id="13" idx="0"/>
        </xdr:cNvCxnSpPr>
      </xdr:nvCxnSpPr>
      <xdr:spPr>
        <a:xfrm rot="5400000">
          <a:off x="9798050" y="6918325"/>
          <a:ext cx="1790700" cy="1098550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835025</xdr:colOff>
      <xdr:row>18</xdr:row>
      <xdr:rowOff>25400</xdr:rowOff>
    </xdr:from>
    <xdr:to>
      <xdr:col>8</xdr:col>
      <xdr:colOff>1470025</xdr:colOff>
      <xdr:row>26</xdr:row>
      <xdr:rowOff>190500</xdr:rowOff>
    </xdr:to>
    <xdr:cxnSp macro="">
      <xdr:nvCxnSpPr>
        <xdr:cNvPr id="16" name="직선 화살표 연결선 10"/>
        <xdr:cNvCxnSpPr>
          <a:stCxn id="8" idx="2"/>
          <a:endCxn id="9" idx="0"/>
        </xdr:cNvCxnSpPr>
      </xdr:nvCxnSpPr>
      <xdr:spPr>
        <a:xfrm rot="5400000">
          <a:off x="9391650" y="701675"/>
          <a:ext cx="2032000" cy="9124950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2857500</xdr:colOff>
      <xdr:row>34</xdr:row>
      <xdr:rowOff>184150</xdr:rowOff>
    </xdr:from>
    <xdr:to>
      <xdr:col>5</xdr:col>
      <xdr:colOff>38100</xdr:colOff>
      <xdr:row>40</xdr:row>
      <xdr:rowOff>38100</xdr:rowOff>
    </xdr:to>
    <xdr:sp macro="" textlink="">
      <xdr:nvSpPr>
        <xdr:cNvPr id="3" name="직사각형 2"/>
        <xdr:cNvSpPr/>
      </xdr:nvSpPr>
      <xdr:spPr>
        <a:xfrm>
          <a:off x="5283200" y="8362950"/>
          <a:ext cx="3829050" cy="939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2863850</xdr:colOff>
      <xdr:row>26</xdr:row>
      <xdr:rowOff>184150</xdr:rowOff>
    </xdr:from>
    <xdr:to>
      <xdr:col>6</xdr:col>
      <xdr:colOff>31750</xdr:colOff>
      <xdr:row>28</xdr:row>
      <xdr:rowOff>31750</xdr:rowOff>
    </xdr:to>
    <xdr:sp macro="" textlink="">
      <xdr:nvSpPr>
        <xdr:cNvPr id="4" name="직사각형 3"/>
        <xdr:cNvSpPr/>
      </xdr:nvSpPr>
      <xdr:spPr>
        <a:xfrm flipV="1">
          <a:off x="5289550" y="6280150"/>
          <a:ext cx="5734050" cy="292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2857500</xdr:colOff>
      <xdr:row>28</xdr:row>
      <xdr:rowOff>31751</xdr:rowOff>
    </xdr:from>
    <xdr:to>
      <xdr:col>4</xdr:col>
      <xdr:colOff>587375</xdr:colOff>
      <xdr:row>37</xdr:row>
      <xdr:rowOff>1</xdr:rowOff>
    </xdr:to>
    <xdr:cxnSp macro="">
      <xdr:nvCxnSpPr>
        <xdr:cNvPr id="6" name="직선 화살표 연결선 9"/>
        <xdr:cNvCxnSpPr>
          <a:stCxn id="4" idx="0"/>
          <a:endCxn id="3" idx="1"/>
        </xdr:cNvCxnSpPr>
      </xdr:nvCxnSpPr>
      <xdr:spPr>
        <a:xfrm rot="5400000">
          <a:off x="5697538" y="6157913"/>
          <a:ext cx="2044700" cy="2873375"/>
        </a:xfrm>
        <a:prstGeom prst="bentConnector4">
          <a:avLst>
            <a:gd name="adj1" fmla="val 38509"/>
            <a:gd name="adj2" fmla="val 107956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1485900</xdr:colOff>
      <xdr:row>12</xdr:row>
      <xdr:rowOff>190500</xdr:rowOff>
    </xdr:from>
    <xdr:to>
      <xdr:col>6</xdr:col>
      <xdr:colOff>12700</xdr:colOff>
      <xdr:row>16</xdr:row>
      <xdr:rowOff>25400</xdr:rowOff>
    </xdr:to>
    <xdr:sp macro="" textlink="">
      <xdr:nvSpPr>
        <xdr:cNvPr id="29" name="직사각형 28"/>
        <xdr:cNvSpPr/>
      </xdr:nvSpPr>
      <xdr:spPr>
        <a:xfrm flipV="1">
          <a:off x="8178800" y="3098800"/>
          <a:ext cx="1949450" cy="7112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628650</xdr:colOff>
      <xdr:row>42</xdr:row>
      <xdr:rowOff>196850</xdr:rowOff>
    </xdr:from>
    <xdr:to>
      <xdr:col>4</xdr:col>
      <xdr:colOff>38100</xdr:colOff>
      <xdr:row>46</xdr:row>
      <xdr:rowOff>25400</xdr:rowOff>
    </xdr:to>
    <xdr:sp macro="" textlink="">
      <xdr:nvSpPr>
        <xdr:cNvPr id="53" name="직사각형 52"/>
        <xdr:cNvSpPr/>
      </xdr:nvSpPr>
      <xdr:spPr>
        <a:xfrm flipV="1">
          <a:off x="628650" y="10115550"/>
          <a:ext cx="6978650" cy="698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1479550</xdr:colOff>
      <xdr:row>42</xdr:row>
      <xdr:rowOff>196850</xdr:rowOff>
    </xdr:from>
    <xdr:to>
      <xdr:col>8</xdr:col>
      <xdr:colOff>31750</xdr:colOff>
      <xdr:row>46</xdr:row>
      <xdr:rowOff>31750</xdr:rowOff>
    </xdr:to>
    <xdr:sp macro="" textlink="">
      <xdr:nvSpPr>
        <xdr:cNvPr id="54" name="직사각형 53"/>
        <xdr:cNvSpPr/>
      </xdr:nvSpPr>
      <xdr:spPr>
        <a:xfrm flipV="1">
          <a:off x="9048750" y="10115550"/>
          <a:ext cx="7118350" cy="704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38100</xdr:colOff>
      <xdr:row>44</xdr:row>
      <xdr:rowOff>107950</xdr:rowOff>
    </xdr:from>
    <xdr:to>
      <xdr:col>4</xdr:col>
      <xdr:colOff>1479550</xdr:colOff>
      <xdr:row>44</xdr:row>
      <xdr:rowOff>111125</xdr:rowOff>
    </xdr:to>
    <xdr:cxnSp macro="">
      <xdr:nvCxnSpPr>
        <xdr:cNvPr id="56" name="직선 화살표 연결선 55"/>
        <xdr:cNvCxnSpPr>
          <a:stCxn id="53" idx="3"/>
          <a:endCxn id="54" idx="1"/>
        </xdr:cNvCxnSpPr>
      </xdr:nvCxnSpPr>
      <xdr:spPr>
        <a:xfrm>
          <a:off x="7607300" y="10464800"/>
          <a:ext cx="1441450" cy="31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1644650</xdr:colOff>
      <xdr:row>11</xdr:row>
      <xdr:rowOff>177800</xdr:rowOff>
    </xdr:from>
    <xdr:to>
      <xdr:col>5</xdr:col>
      <xdr:colOff>31750</xdr:colOff>
      <xdr:row>16</xdr:row>
      <xdr:rowOff>44450</xdr:rowOff>
    </xdr:to>
    <xdr:sp macro="" textlink="">
      <xdr:nvSpPr>
        <xdr:cNvPr id="2" name="직사각형 1"/>
        <xdr:cNvSpPr/>
      </xdr:nvSpPr>
      <xdr:spPr>
        <a:xfrm>
          <a:off x="6654800" y="2863850"/>
          <a:ext cx="1574800" cy="1181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2527300</xdr:colOff>
      <xdr:row>26</xdr:row>
      <xdr:rowOff>177800</xdr:rowOff>
    </xdr:from>
    <xdr:to>
      <xdr:col>5</xdr:col>
      <xdr:colOff>50800</xdr:colOff>
      <xdr:row>30</xdr:row>
      <xdr:rowOff>57150</xdr:rowOff>
    </xdr:to>
    <xdr:sp macro="" textlink="">
      <xdr:nvSpPr>
        <xdr:cNvPr id="5" name="직사각형 4"/>
        <xdr:cNvSpPr/>
      </xdr:nvSpPr>
      <xdr:spPr>
        <a:xfrm>
          <a:off x="4953000" y="6489700"/>
          <a:ext cx="3295650" cy="755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31750</xdr:colOff>
      <xdr:row>14</xdr:row>
      <xdr:rowOff>107950</xdr:rowOff>
    </xdr:from>
    <xdr:to>
      <xdr:col>5</xdr:col>
      <xdr:colOff>50800</xdr:colOff>
      <xdr:row>28</xdr:row>
      <xdr:rowOff>117475</xdr:rowOff>
    </xdr:to>
    <xdr:cxnSp macro="">
      <xdr:nvCxnSpPr>
        <xdr:cNvPr id="7" name="직선 화살표 연결선 10"/>
        <xdr:cNvCxnSpPr>
          <a:stCxn id="5" idx="3"/>
          <a:endCxn id="2" idx="3"/>
        </xdr:cNvCxnSpPr>
      </xdr:nvCxnSpPr>
      <xdr:spPr>
        <a:xfrm flipH="1" flipV="1">
          <a:off x="7340600" y="3454400"/>
          <a:ext cx="19050" cy="3413125"/>
        </a:xfrm>
        <a:prstGeom prst="bentConnector3">
          <a:avLst>
            <a:gd name="adj1" fmla="val -960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622300</xdr:colOff>
      <xdr:row>10</xdr:row>
      <xdr:rowOff>171450</xdr:rowOff>
    </xdr:from>
    <xdr:to>
      <xdr:col>3</xdr:col>
      <xdr:colOff>38100</xdr:colOff>
      <xdr:row>16</xdr:row>
      <xdr:rowOff>38100</xdr:rowOff>
    </xdr:to>
    <xdr:sp macro="" textlink="">
      <xdr:nvSpPr>
        <xdr:cNvPr id="17" name="직사각형 16"/>
        <xdr:cNvSpPr/>
      </xdr:nvSpPr>
      <xdr:spPr>
        <a:xfrm>
          <a:off x="622300" y="2635250"/>
          <a:ext cx="3536950" cy="14033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38100</xdr:colOff>
      <xdr:row>13</xdr:row>
      <xdr:rowOff>206376</xdr:rowOff>
    </xdr:from>
    <xdr:to>
      <xdr:col>3</xdr:col>
      <xdr:colOff>1644650</xdr:colOff>
      <xdr:row>14</xdr:row>
      <xdr:rowOff>107951</xdr:rowOff>
    </xdr:to>
    <xdr:cxnSp macro="">
      <xdr:nvCxnSpPr>
        <xdr:cNvPr id="23" name="직선 화살표 연결선 10"/>
        <xdr:cNvCxnSpPr>
          <a:stCxn id="2" idx="1"/>
          <a:endCxn id="17" idx="3"/>
        </xdr:cNvCxnSpPr>
      </xdr:nvCxnSpPr>
      <xdr:spPr>
        <a:xfrm rot="10800000">
          <a:off x="4159250" y="3336926"/>
          <a:ext cx="1606550" cy="117475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622300</xdr:colOff>
      <xdr:row>10</xdr:row>
      <xdr:rowOff>162485</xdr:rowOff>
    </xdr:from>
    <xdr:to>
      <xdr:col>3</xdr:col>
      <xdr:colOff>38100</xdr:colOff>
      <xdr:row>16</xdr:row>
      <xdr:rowOff>29135</xdr:rowOff>
    </xdr:to>
    <xdr:sp macro="" textlink="">
      <xdr:nvSpPr>
        <xdr:cNvPr id="27" name="직사각형 26"/>
        <xdr:cNvSpPr/>
      </xdr:nvSpPr>
      <xdr:spPr>
        <a:xfrm>
          <a:off x="622300" y="2635250"/>
          <a:ext cx="3532094" cy="141306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1628588</xdr:colOff>
      <xdr:row>37</xdr:row>
      <xdr:rowOff>179294</xdr:rowOff>
    </xdr:from>
    <xdr:to>
      <xdr:col>7</xdr:col>
      <xdr:colOff>52294</xdr:colOff>
      <xdr:row>41</xdr:row>
      <xdr:rowOff>67236</xdr:rowOff>
    </xdr:to>
    <xdr:sp macro="" textlink="">
      <xdr:nvSpPr>
        <xdr:cNvPr id="28" name="직사각형 27"/>
        <xdr:cNvSpPr/>
      </xdr:nvSpPr>
      <xdr:spPr>
        <a:xfrm>
          <a:off x="4049059" y="9046882"/>
          <a:ext cx="7186706" cy="76947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622299</xdr:colOff>
      <xdr:row>13</xdr:row>
      <xdr:rowOff>196662</xdr:rowOff>
    </xdr:from>
    <xdr:to>
      <xdr:col>2</xdr:col>
      <xdr:colOff>1628587</xdr:colOff>
      <xdr:row>39</xdr:row>
      <xdr:rowOff>123264</xdr:rowOff>
    </xdr:to>
    <xdr:cxnSp macro="">
      <xdr:nvCxnSpPr>
        <xdr:cNvPr id="29" name="직선 화살표 연결선 10"/>
        <xdr:cNvCxnSpPr>
          <a:stCxn id="27" idx="1"/>
          <a:endCxn id="28" idx="1"/>
        </xdr:cNvCxnSpPr>
      </xdr:nvCxnSpPr>
      <xdr:spPr>
        <a:xfrm rot="10800000" flipH="1" flipV="1">
          <a:off x="622299" y="3341780"/>
          <a:ext cx="3426759" cy="6089837"/>
        </a:xfrm>
        <a:prstGeom prst="bentConnector3">
          <a:avLst>
            <a:gd name="adj1" fmla="val -6671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1628215</xdr:colOff>
      <xdr:row>25</xdr:row>
      <xdr:rowOff>201706</xdr:rowOff>
    </xdr:from>
    <xdr:to>
      <xdr:col>4</xdr:col>
      <xdr:colOff>52295</xdr:colOff>
      <xdr:row>27</xdr:row>
      <xdr:rowOff>14941</xdr:rowOff>
    </xdr:to>
    <xdr:sp macro="" textlink="">
      <xdr:nvSpPr>
        <xdr:cNvPr id="3" name="직사각형 2"/>
        <xdr:cNvSpPr/>
      </xdr:nvSpPr>
      <xdr:spPr>
        <a:xfrm>
          <a:off x="4048686" y="6970059"/>
          <a:ext cx="1800785" cy="254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52295</xdr:colOff>
      <xdr:row>13</xdr:row>
      <xdr:rowOff>4482</xdr:rowOff>
    </xdr:from>
    <xdr:to>
      <xdr:col>7</xdr:col>
      <xdr:colOff>1105646</xdr:colOff>
      <xdr:row>26</xdr:row>
      <xdr:rowOff>104588</xdr:rowOff>
    </xdr:to>
    <xdr:cxnSp macro="">
      <xdr:nvCxnSpPr>
        <xdr:cNvPr id="4" name="직선 화살표 연결선 10"/>
        <xdr:cNvCxnSpPr>
          <a:stCxn id="3" idx="3"/>
          <a:endCxn id="8" idx="1"/>
        </xdr:cNvCxnSpPr>
      </xdr:nvCxnSpPr>
      <xdr:spPr>
        <a:xfrm flipV="1">
          <a:off x="5468471" y="3149600"/>
          <a:ext cx="6723528" cy="3304988"/>
        </a:xfrm>
        <a:prstGeom prst="bentConnector3">
          <a:avLst>
            <a:gd name="adj1" fmla="val 50333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1653615</xdr:colOff>
      <xdr:row>35</xdr:row>
      <xdr:rowOff>189753</xdr:rowOff>
    </xdr:from>
    <xdr:to>
      <xdr:col>4</xdr:col>
      <xdr:colOff>77695</xdr:colOff>
      <xdr:row>40</xdr:row>
      <xdr:rowOff>22411</xdr:rowOff>
    </xdr:to>
    <xdr:sp macro="" textlink="">
      <xdr:nvSpPr>
        <xdr:cNvPr id="7" name="직사각형 6"/>
        <xdr:cNvSpPr/>
      </xdr:nvSpPr>
      <xdr:spPr>
        <a:xfrm>
          <a:off x="4074086" y="9266518"/>
          <a:ext cx="1800785" cy="9233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1105646</xdr:colOff>
      <xdr:row>10</xdr:row>
      <xdr:rowOff>215153</xdr:rowOff>
    </xdr:from>
    <xdr:to>
      <xdr:col>10</xdr:col>
      <xdr:colOff>44824</xdr:colOff>
      <xdr:row>15</xdr:row>
      <xdr:rowOff>32870</xdr:rowOff>
    </xdr:to>
    <xdr:sp macro="" textlink="">
      <xdr:nvSpPr>
        <xdr:cNvPr id="8" name="직사각형 7"/>
        <xdr:cNvSpPr/>
      </xdr:nvSpPr>
      <xdr:spPr>
        <a:xfrm>
          <a:off x="12191999" y="2687918"/>
          <a:ext cx="5154707" cy="9233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77695</xdr:colOff>
      <xdr:row>13</xdr:row>
      <xdr:rowOff>4482</xdr:rowOff>
    </xdr:from>
    <xdr:to>
      <xdr:col>10</xdr:col>
      <xdr:colOff>44824</xdr:colOff>
      <xdr:row>37</xdr:row>
      <xdr:rowOff>210670</xdr:rowOff>
    </xdr:to>
    <xdr:cxnSp macro="">
      <xdr:nvCxnSpPr>
        <xdr:cNvPr id="12" name="직선 화살표 연결선 10"/>
        <xdr:cNvCxnSpPr>
          <a:stCxn id="8" idx="3"/>
          <a:endCxn id="7" idx="3"/>
        </xdr:cNvCxnSpPr>
      </xdr:nvCxnSpPr>
      <xdr:spPr>
        <a:xfrm flipH="1">
          <a:off x="5493871" y="3149600"/>
          <a:ext cx="11852835" cy="5936129"/>
        </a:xfrm>
        <a:prstGeom prst="bentConnector3">
          <a:avLst>
            <a:gd name="adj1" fmla="val -1929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51221;&#48372;&#54868;+@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zoomScale="85" zoomScaleNormal="85" workbookViewId="0">
      <selection activeCell="B44" sqref="B44:E44"/>
    </sheetView>
  </sheetViews>
  <sheetFormatPr defaultRowHeight="17" x14ac:dyDescent="0.45"/>
  <cols>
    <col min="1" max="1" width="3.58203125" customWidth="1"/>
    <col min="2" max="2" width="23.75" bestFit="1" customWidth="1"/>
    <col min="3" max="3" width="29.33203125" style="10" bestFit="1" customWidth="1"/>
    <col min="4" max="4" width="22.83203125" bestFit="1" customWidth="1"/>
    <col min="5" max="5" width="39.33203125" bestFit="1" customWidth="1"/>
    <col min="6" max="6" width="22.9140625" bestFit="1" customWidth="1"/>
    <col min="7" max="7" width="25.83203125" customWidth="1"/>
    <col min="8" max="8" width="30.5" bestFit="1" customWidth="1"/>
    <col min="9" max="9" width="61.4140625" bestFit="1" customWidth="1"/>
    <col min="10" max="10" width="17.5" customWidth="1"/>
    <col min="11" max="11" width="27.5" customWidth="1"/>
    <col min="12" max="12" width="25.33203125" bestFit="1" customWidth="1"/>
  </cols>
  <sheetData>
    <row r="1" spans="2:6" x14ac:dyDescent="0.45">
      <c r="C1"/>
    </row>
    <row r="2" spans="2:6" x14ac:dyDescent="0.45">
      <c r="B2" s="272" t="s">
        <v>26</v>
      </c>
      <c r="C2" s="272"/>
      <c r="D2" s="272"/>
      <c r="E2" s="272"/>
    </row>
    <row r="3" spans="2:6" ht="25.5" x14ac:dyDescent="0.45">
      <c r="B3" s="7" t="s">
        <v>25</v>
      </c>
      <c r="C3" s="7" t="s">
        <v>2</v>
      </c>
      <c r="D3" s="7" t="s">
        <v>7</v>
      </c>
      <c r="E3" s="7" t="s">
        <v>3</v>
      </c>
      <c r="F3" s="12"/>
    </row>
    <row r="4" spans="2:6" x14ac:dyDescent="0.45">
      <c r="B4" s="3">
        <v>1</v>
      </c>
      <c r="C4" s="4" t="s">
        <v>1</v>
      </c>
      <c r="D4" s="4" t="s">
        <v>1</v>
      </c>
      <c r="E4" s="4" t="s">
        <v>4</v>
      </c>
      <c r="F4" s="11"/>
    </row>
    <row r="5" spans="2:6" x14ac:dyDescent="0.45">
      <c r="B5" s="3">
        <v>2</v>
      </c>
      <c r="C5" s="4" t="s">
        <v>5</v>
      </c>
      <c r="D5" s="4" t="s">
        <v>5</v>
      </c>
      <c r="E5" s="4" t="s">
        <v>6</v>
      </c>
      <c r="F5" s="11"/>
    </row>
    <row r="6" spans="2:6" x14ac:dyDescent="0.45">
      <c r="B6" s="271">
        <v>3</v>
      </c>
      <c r="C6" s="4" t="s">
        <v>9</v>
      </c>
      <c r="D6" s="270" t="s">
        <v>8</v>
      </c>
      <c r="E6" s="4" t="s">
        <v>15</v>
      </c>
      <c r="F6" s="11"/>
    </row>
    <row r="7" spans="2:6" x14ac:dyDescent="0.45">
      <c r="B7" s="271"/>
      <c r="C7" s="4" t="s">
        <v>10</v>
      </c>
      <c r="D7" s="270"/>
      <c r="E7" s="4" t="s">
        <v>16</v>
      </c>
      <c r="F7" s="11"/>
    </row>
    <row r="8" spans="2:6" x14ac:dyDescent="0.45">
      <c r="B8" s="271"/>
      <c r="C8" s="4" t="s">
        <v>17</v>
      </c>
      <c r="D8" s="270"/>
      <c r="E8" s="4" t="s">
        <v>18</v>
      </c>
      <c r="F8" s="11"/>
    </row>
    <row r="9" spans="2:6" x14ac:dyDescent="0.45">
      <c r="B9" s="271"/>
      <c r="C9" s="4" t="s">
        <v>11</v>
      </c>
      <c r="D9" s="270"/>
      <c r="E9" s="4" t="s">
        <v>19</v>
      </c>
      <c r="F9" s="11"/>
    </row>
    <row r="10" spans="2:6" x14ac:dyDescent="0.45">
      <c r="B10" s="3">
        <v>4</v>
      </c>
      <c r="C10" s="4" t="s">
        <v>13</v>
      </c>
      <c r="D10" s="4" t="s">
        <v>12</v>
      </c>
      <c r="E10" s="4" t="s">
        <v>20</v>
      </c>
      <c r="F10" s="11"/>
    </row>
    <row r="11" spans="2:6" x14ac:dyDescent="0.45">
      <c r="B11" s="3">
        <v>5</v>
      </c>
      <c r="C11" s="4" t="s">
        <v>14</v>
      </c>
      <c r="D11" s="4" t="s">
        <v>23</v>
      </c>
      <c r="E11" s="4" t="s">
        <v>21</v>
      </c>
      <c r="F11" s="11"/>
    </row>
    <row r="12" spans="2:6" x14ac:dyDescent="0.45">
      <c r="B12" s="3">
        <v>6</v>
      </c>
      <c r="C12" s="4" t="s">
        <v>67</v>
      </c>
      <c r="D12" s="4" t="s">
        <v>22</v>
      </c>
      <c r="E12" s="4" t="s">
        <v>24</v>
      </c>
      <c r="F12" s="11"/>
    </row>
    <row r="13" spans="2:6" x14ac:dyDescent="0.45">
      <c r="B13" s="3">
        <v>99</v>
      </c>
      <c r="C13" s="4" t="s">
        <v>64</v>
      </c>
      <c r="D13" s="14" t="s">
        <v>63</v>
      </c>
      <c r="E13" s="4" t="s">
        <v>65</v>
      </c>
      <c r="F13" s="11"/>
    </row>
    <row r="14" spans="2:6" x14ac:dyDescent="0.45">
      <c r="C14" s="1"/>
      <c r="D14" s="1"/>
      <c r="E14" s="1"/>
      <c r="F14" s="1"/>
    </row>
    <row r="15" spans="2:6" x14ac:dyDescent="0.45">
      <c r="B15" s="273" t="s">
        <v>27</v>
      </c>
      <c r="C15" s="273"/>
      <c r="D15" s="273"/>
      <c r="E15" s="273"/>
      <c r="F15" s="1"/>
    </row>
    <row r="16" spans="2:6" ht="25.5" x14ac:dyDescent="0.45">
      <c r="B16" s="7" t="s">
        <v>30</v>
      </c>
      <c r="C16" s="7" t="s">
        <v>3</v>
      </c>
      <c r="D16" s="7" t="s">
        <v>40</v>
      </c>
    </row>
    <row r="17" spans="1:11" x14ac:dyDescent="0.45">
      <c r="A17" s="15"/>
      <c r="B17" s="16" t="s">
        <v>36</v>
      </c>
      <c r="C17" s="16" t="s">
        <v>31</v>
      </c>
      <c r="D17" s="16" t="s">
        <v>133</v>
      </c>
      <c r="E17" s="80"/>
      <c r="F17" s="1"/>
    </row>
    <row r="18" spans="1:11" x14ac:dyDescent="0.45">
      <c r="A18" s="15"/>
      <c r="B18" s="16" t="s">
        <v>37</v>
      </c>
      <c r="C18" s="16" t="s">
        <v>32</v>
      </c>
      <c r="D18" s="16" t="s">
        <v>134</v>
      </c>
      <c r="E18" s="1"/>
      <c r="F18" s="1"/>
    </row>
    <row r="19" spans="1:11" ht="17.5" thickBot="1" x14ac:dyDescent="0.5">
      <c r="B19" s="3" t="s">
        <v>38</v>
      </c>
      <c r="C19" s="3" t="s">
        <v>33</v>
      </c>
      <c r="D19" s="81" t="s">
        <v>135</v>
      </c>
      <c r="E19" s="1"/>
      <c r="F19" s="1"/>
    </row>
    <row r="20" spans="1:11" ht="17.5" thickBot="1" x14ac:dyDescent="0.5">
      <c r="B20" s="3" t="s">
        <v>39</v>
      </c>
      <c r="C20" s="3" t="s">
        <v>34</v>
      </c>
      <c r="D20" s="82" t="s">
        <v>135</v>
      </c>
      <c r="E20" s="1"/>
      <c r="F20" s="1"/>
      <c r="J20" s="48" t="s">
        <v>89</v>
      </c>
      <c r="K20" s="49" t="s">
        <v>94</v>
      </c>
    </row>
    <row r="21" spans="1:11" ht="17.5" thickBot="1" x14ac:dyDescent="0.5">
      <c r="C21" s="1"/>
      <c r="D21" s="1"/>
      <c r="E21" s="1"/>
      <c r="F21" s="42" t="s">
        <v>103</v>
      </c>
      <c r="G21" s="43" t="s">
        <v>95</v>
      </c>
      <c r="J21" s="50" t="s">
        <v>88</v>
      </c>
      <c r="K21" s="51" t="s">
        <v>63</v>
      </c>
    </row>
    <row r="22" spans="1:11" ht="17.5" thickBot="1" x14ac:dyDescent="0.5">
      <c r="B22" s="273" t="s">
        <v>59</v>
      </c>
      <c r="C22" s="273"/>
      <c r="D22" s="273"/>
      <c r="E22" s="274"/>
      <c r="F22" s="50" t="s">
        <v>87</v>
      </c>
      <c r="G22" s="60" t="s">
        <v>90</v>
      </c>
      <c r="J22" s="17" t="s">
        <v>90</v>
      </c>
      <c r="K22" s="18" t="s">
        <v>88</v>
      </c>
    </row>
    <row r="23" spans="1:11" ht="26" thickBot="1" x14ac:dyDescent="0.5">
      <c r="B23" s="65" t="s">
        <v>30</v>
      </c>
      <c r="C23" s="67" t="s">
        <v>3</v>
      </c>
      <c r="D23" s="12"/>
      <c r="E23" s="1"/>
      <c r="F23" s="19" t="s">
        <v>104</v>
      </c>
      <c r="G23" s="41" t="s">
        <v>92</v>
      </c>
      <c r="J23" s="19" t="s">
        <v>92</v>
      </c>
      <c r="K23" s="18" t="s">
        <v>88</v>
      </c>
    </row>
    <row r="24" spans="1:11" x14ac:dyDescent="0.45">
      <c r="B24" s="28" t="s">
        <v>124</v>
      </c>
      <c r="C24" s="53" t="s">
        <v>56</v>
      </c>
      <c r="D24" s="23"/>
      <c r="E24" s="1"/>
      <c r="F24" s="19" t="s">
        <v>105</v>
      </c>
      <c r="G24" s="40" t="s">
        <v>106</v>
      </c>
      <c r="J24" s="17" t="s">
        <v>91</v>
      </c>
      <c r="K24" s="18" t="s">
        <v>88</v>
      </c>
    </row>
    <row r="25" spans="1:11" ht="17.5" thickBot="1" x14ac:dyDescent="0.5">
      <c r="B25" s="19" t="s">
        <v>122</v>
      </c>
      <c r="C25" s="45" t="s">
        <v>57</v>
      </c>
      <c r="D25" s="23"/>
      <c r="E25" s="1"/>
      <c r="F25" s="20" t="s">
        <v>107</v>
      </c>
      <c r="G25" s="34" t="s">
        <v>88</v>
      </c>
      <c r="J25" s="19" t="s">
        <v>93</v>
      </c>
      <c r="K25" s="18" t="s">
        <v>88</v>
      </c>
    </row>
    <row r="26" spans="1:11" x14ac:dyDescent="0.45">
      <c r="B26" s="19" t="s">
        <v>123</v>
      </c>
      <c r="C26" s="45" t="s">
        <v>58</v>
      </c>
      <c r="D26" s="23"/>
      <c r="E26" s="1"/>
      <c r="J26" s="19" t="s">
        <v>109</v>
      </c>
      <c r="K26" s="40"/>
    </row>
    <row r="27" spans="1:11" x14ac:dyDescent="0.45">
      <c r="B27" s="19" t="s">
        <v>60</v>
      </c>
      <c r="C27" s="45" t="s">
        <v>54</v>
      </c>
      <c r="D27" s="9"/>
      <c r="E27" s="1"/>
      <c r="J27" s="17" t="s">
        <v>110</v>
      </c>
      <c r="K27" s="45" t="s">
        <v>109</v>
      </c>
    </row>
    <row r="28" spans="1:11" ht="17.5" thickBot="1" x14ac:dyDescent="0.5">
      <c r="B28" s="19" t="s">
        <v>125</v>
      </c>
      <c r="C28" s="45" t="s">
        <v>13</v>
      </c>
      <c r="D28" s="9"/>
      <c r="E28" s="1"/>
      <c r="F28" s="1"/>
      <c r="J28" s="17" t="s">
        <v>111</v>
      </c>
      <c r="K28" s="45" t="s">
        <v>109</v>
      </c>
    </row>
    <row r="29" spans="1:11" ht="17.5" thickBot="1" x14ac:dyDescent="0.5">
      <c r="B29" s="20" t="s">
        <v>61</v>
      </c>
      <c r="C29" s="47" t="s">
        <v>55</v>
      </c>
      <c r="D29" s="9"/>
      <c r="E29" s="1"/>
      <c r="F29" s="37" t="s">
        <v>100</v>
      </c>
      <c r="G29" s="38" t="s">
        <v>95</v>
      </c>
      <c r="J29" s="17" t="s">
        <v>112</v>
      </c>
      <c r="K29" s="45" t="s">
        <v>109</v>
      </c>
    </row>
    <row r="30" spans="1:11" ht="17.5" thickBot="1" x14ac:dyDescent="0.5">
      <c r="B30" s="13"/>
      <c r="C30" s="13"/>
      <c r="D30" s="9"/>
      <c r="E30" s="1"/>
      <c r="F30" s="35" t="s">
        <v>102</v>
      </c>
      <c r="G30" s="36" t="s">
        <v>88</v>
      </c>
      <c r="J30" s="46" t="s">
        <v>113</v>
      </c>
      <c r="K30" s="47" t="s">
        <v>109</v>
      </c>
    </row>
    <row r="31" spans="1:11" ht="17.5" thickBot="1" x14ac:dyDescent="0.5">
      <c r="B31" s="268" t="s">
        <v>77</v>
      </c>
      <c r="C31" s="268"/>
      <c r="D31" s="268"/>
      <c r="E31" s="268"/>
      <c r="F31" s="87"/>
      <c r="G31" s="87"/>
      <c r="H31" s="87"/>
    </row>
    <row r="32" spans="1:11" ht="26" thickBot="1" x14ac:dyDescent="0.5">
      <c r="B32" s="65" t="s">
        <v>75</v>
      </c>
      <c r="C32" s="66" t="s">
        <v>3</v>
      </c>
      <c r="D32" s="67" t="s">
        <v>40</v>
      </c>
      <c r="E32" s="1"/>
      <c r="F32" s="30" t="s">
        <v>95</v>
      </c>
      <c r="G32" s="31" t="s">
        <v>96</v>
      </c>
      <c r="H32" s="22" t="s">
        <v>68</v>
      </c>
    </row>
    <row r="33" spans="2:11" x14ac:dyDescent="0.45">
      <c r="B33" s="39" t="s">
        <v>69</v>
      </c>
      <c r="C33" s="52" t="s">
        <v>78</v>
      </c>
      <c r="D33" s="57"/>
      <c r="E33" s="1"/>
      <c r="F33" s="21" t="s">
        <v>90</v>
      </c>
      <c r="G33" s="59" t="s">
        <v>97</v>
      </c>
      <c r="H33" s="29" t="s">
        <v>66</v>
      </c>
    </row>
    <row r="34" spans="2:11" ht="17.5" thickBot="1" x14ac:dyDescent="0.5">
      <c r="B34" s="19" t="s">
        <v>70</v>
      </c>
      <c r="C34" s="3" t="s">
        <v>80</v>
      </c>
      <c r="D34" s="45"/>
      <c r="E34" s="1"/>
      <c r="F34" s="19" t="s">
        <v>92</v>
      </c>
      <c r="G34" s="16" t="s">
        <v>108</v>
      </c>
      <c r="H34" s="25" t="s">
        <v>0</v>
      </c>
    </row>
    <row r="35" spans="2:11" ht="17.5" thickBot="1" x14ac:dyDescent="0.5">
      <c r="B35" s="19" t="s">
        <v>71</v>
      </c>
      <c r="C35" s="3" t="s">
        <v>79</v>
      </c>
      <c r="D35" s="45"/>
      <c r="E35" s="1"/>
      <c r="F35" s="19" t="s">
        <v>98</v>
      </c>
      <c r="G35" s="16" t="s">
        <v>97</v>
      </c>
      <c r="H35" s="25" t="s">
        <v>99</v>
      </c>
      <c r="J35" s="70" t="s">
        <v>130</v>
      </c>
      <c r="K35" s="71" t="s">
        <v>56</v>
      </c>
    </row>
    <row r="36" spans="2:11" ht="17.5" thickBot="1" x14ac:dyDescent="0.5">
      <c r="B36" s="19" t="s">
        <v>72</v>
      </c>
      <c r="C36" s="3" t="s">
        <v>81</v>
      </c>
      <c r="D36" s="45"/>
      <c r="E36" s="1"/>
      <c r="F36" s="20" t="s">
        <v>110</v>
      </c>
      <c r="G36" s="26" t="s">
        <v>114</v>
      </c>
      <c r="H36" s="27" t="s">
        <v>70</v>
      </c>
      <c r="J36" s="189" t="s">
        <v>161</v>
      </c>
      <c r="K36" s="72" t="s">
        <v>102</v>
      </c>
    </row>
    <row r="37" spans="2:11" x14ac:dyDescent="0.45">
      <c r="B37" s="19" t="s">
        <v>73</v>
      </c>
      <c r="C37" s="3" t="s">
        <v>82</v>
      </c>
      <c r="D37" s="45"/>
      <c r="E37" s="1"/>
      <c r="J37" s="33" t="s">
        <v>162</v>
      </c>
      <c r="K37" s="73" t="s">
        <v>101</v>
      </c>
    </row>
    <row r="38" spans="2:11" x14ac:dyDescent="0.45">
      <c r="B38" s="19" t="s">
        <v>74</v>
      </c>
      <c r="C38" s="3" t="s">
        <v>83</v>
      </c>
      <c r="D38" s="45"/>
      <c r="E38" s="1"/>
      <c r="J38" s="33" t="s">
        <v>163</v>
      </c>
      <c r="K38" s="73" t="s">
        <v>101</v>
      </c>
    </row>
    <row r="39" spans="2:11" ht="17.5" thickBot="1" x14ac:dyDescent="0.5">
      <c r="B39" s="44" t="s">
        <v>76</v>
      </c>
      <c r="C39" s="76" t="s">
        <v>84</v>
      </c>
      <c r="D39" s="77"/>
      <c r="E39" s="1"/>
      <c r="J39" s="75" t="s">
        <v>164</v>
      </c>
      <c r="K39" s="74" t="s">
        <v>101</v>
      </c>
    </row>
    <row r="40" spans="2:11" x14ac:dyDescent="0.45">
      <c r="B40" s="19" t="s">
        <v>137</v>
      </c>
      <c r="C40" s="3" t="s">
        <v>131</v>
      </c>
      <c r="D40" s="45" t="s">
        <v>85</v>
      </c>
      <c r="E40" s="1"/>
    </row>
    <row r="41" spans="2:11" ht="17.5" thickBot="1" x14ac:dyDescent="0.5">
      <c r="B41" s="20" t="s">
        <v>136</v>
      </c>
      <c r="C41" s="56" t="s">
        <v>132</v>
      </c>
      <c r="D41" s="47"/>
      <c r="E41" s="1"/>
    </row>
    <row r="42" spans="2:11" x14ac:dyDescent="0.45">
      <c r="B42" s="13"/>
      <c r="C42" s="13"/>
      <c r="D42" s="13"/>
      <c r="E42" s="1"/>
    </row>
    <row r="43" spans="2:11" x14ac:dyDescent="0.45">
      <c r="B43" s="13"/>
      <c r="C43" s="13"/>
      <c r="D43" s="13"/>
      <c r="E43" s="1"/>
    </row>
    <row r="44" spans="2:11" ht="17.5" thickBot="1" x14ac:dyDescent="0.5">
      <c r="B44" s="269" t="s">
        <v>62</v>
      </c>
      <c r="C44" s="269"/>
      <c r="D44" s="269"/>
      <c r="E44" s="269"/>
      <c r="F44" s="1"/>
    </row>
    <row r="45" spans="2:11" ht="17.5" thickBot="1" x14ac:dyDescent="0.5">
      <c r="B45" s="132" t="s">
        <v>41</v>
      </c>
      <c r="C45" s="94" t="s">
        <v>53</v>
      </c>
      <c r="D45" s="62" t="s">
        <v>52</v>
      </c>
      <c r="E45" s="62" t="s">
        <v>52</v>
      </c>
      <c r="F45" s="62" t="s">
        <v>52</v>
      </c>
      <c r="G45" s="62" t="s">
        <v>52</v>
      </c>
      <c r="H45" s="94" t="s">
        <v>53</v>
      </c>
      <c r="I45" s="94" t="s">
        <v>53</v>
      </c>
      <c r="J45" s="94" t="s">
        <v>53</v>
      </c>
      <c r="K45" s="63" t="s">
        <v>53</v>
      </c>
    </row>
    <row r="46" spans="2:11" x14ac:dyDescent="0.45">
      <c r="B46" s="193" t="s">
        <v>42</v>
      </c>
      <c r="C46" s="194" t="s">
        <v>126</v>
      </c>
      <c r="D46" s="194" t="s">
        <v>43</v>
      </c>
      <c r="E46" s="194" t="s">
        <v>48</v>
      </c>
      <c r="F46" s="194" t="s">
        <v>51</v>
      </c>
      <c r="G46" s="194" t="s">
        <v>28</v>
      </c>
      <c r="H46" s="194" t="s">
        <v>29</v>
      </c>
      <c r="I46" s="96" t="s">
        <v>120</v>
      </c>
      <c r="J46" s="195" t="s">
        <v>147</v>
      </c>
      <c r="K46" s="196" t="s">
        <v>146</v>
      </c>
    </row>
    <row r="47" spans="2:11" ht="17.5" thickBot="1" x14ac:dyDescent="0.5">
      <c r="B47" s="197" t="s">
        <v>86</v>
      </c>
      <c r="C47" s="198" t="s">
        <v>127</v>
      </c>
      <c r="D47" s="198" t="s">
        <v>46</v>
      </c>
      <c r="E47" s="198" t="s">
        <v>47</v>
      </c>
      <c r="F47" s="198" t="s">
        <v>50</v>
      </c>
      <c r="G47" s="198" t="s">
        <v>45</v>
      </c>
      <c r="H47" s="64" t="s">
        <v>44</v>
      </c>
      <c r="I47" s="198" t="s">
        <v>121</v>
      </c>
      <c r="J47" s="83" t="s">
        <v>148</v>
      </c>
      <c r="K47" s="84" t="s">
        <v>149</v>
      </c>
    </row>
    <row r="48" spans="2:11" x14ac:dyDescent="0.45">
      <c r="B48" s="192" t="s">
        <v>49</v>
      </c>
      <c r="C48" s="151" t="s">
        <v>122</v>
      </c>
      <c r="D48" s="151" t="s">
        <v>110</v>
      </c>
      <c r="E48" s="152" t="s">
        <v>63</v>
      </c>
      <c r="F48" s="152" t="s">
        <v>63</v>
      </c>
      <c r="G48" s="151" t="s">
        <v>87</v>
      </c>
      <c r="H48" s="151" t="s">
        <v>36</v>
      </c>
      <c r="I48" s="206" t="str">
        <f t="shared" ref="I48:I61" si="0">IF(OR(C48="PIC", C48="DEP", C48 ="EXP"),CONCATENATE(IF(C48="PIC","[담당자권한] ",IF(C48="DEP","[부서권한] ",IF(C48="EXP","[전문가권한] ",""))),G48,", ", D48, IF(H48="ADD"," 권한 추가",""), IF(H48="DEL"," 권한삭제","")),"")</f>
        <v>[담당자권한] 김아무개, 게시판읽기 권한 추가</v>
      </c>
      <c r="J48" s="203" t="s">
        <v>154</v>
      </c>
      <c r="K48" s="204" t="s">
        <v>139</v>
      </c>
    </row>
    <row r="49" spans="2:11" x14ac:dyDescent="0.45">
      <c r="B49" s="54" t="s">
        <v>240</v>
      </c>
      <c r="C49" s="142" t="s">
        <v>124</v>
      </c>
      <c r="D49" s="142" t="s">
        <v>111</v>
      </c>
      <c r="E49" s="148" t="s">
        <v>63</v>
      </c>
      <c r="F49" s="148" t="s">
        <v>63</v>
      </c>
      <c r="G49" s="142" t="s">
        <v>102</v>
      </c>
      <c r="H49" s="142" t="s">
        <v>36</v>
      </c>
      <c r="I49" s="207" t="str">
        <f t="shared" si="0"/>
        <v>[부서권한] 정보화팀, 게시판쓰기 권한 추가</v>
      </c>
      <c r="J49" s="199" t="s">
        <v>153</v>
      </c>
      <c r="K49" s="200" t="s">
        <v>140</v>
      </c>
    </row>
    <row r="50" spans="2:11" x14ac:dyDescent="0.45">
      <c r="B50" s="54" t="s">
        <v>241</v>
      </c>
      <c r="C50" s="142" t="s">
        <v>123</v>
      </c>
      <c r="D50" s="142" t="s">
        <v>111</v>
      </c>
      <c r="E50" s="148" t="s">
        <v>63</v>
      </c>
      <c r="F50" s="148" t="s">
        <v>63</v>
      </c>
      <c r="G50" s="142" t="s">
        <v>115</v>
      </c>
      <c r="H50" s="142" t="s">
        <v>37</v>
      </c>
      <c r="I50" s="207" t="str">
        <f t="shared" si="0"/>
        <v>[전문가권한] 안전문가, 게시판쓰기 권한삭제</v>
      </c>
      <c r="J50" s="199" t="s">
        <v>155</v>
      </c>
      <c r="K50" s="200" t="s">
        <v>141</v>
      </c>
    </row>
    <row r="51" spans="2:11" x14ac:dyDescent="0.45">
      <c r="B51" s="54" t="s">
        <v>213</v>
      </c>
      <c r="C51" s="142" t="s">
        <v>122</v>
      </c>
      <c r="D51" s="142" t="s">
        <v>111</v>
      </c>
      <c r="E51" s="148" t="s">
        <v>63</v>
      </c>
      <c r="F51" s="148" t="s">
        <v>63</v>
      </c>
      <c r="G51" s="142" t="s">
        <v>116</v>
      </c>
      <c r="H51" s="142" t="s">
        <v>36</v>
      </c>
      <c r="I51" s="207" t="str">
        <f t="shared" si="0"/>
        <v>[담당자권한] 정팀장, 게시판쓰기 권한 추가</v>
      </c>
      <c r="J51" s="199" t="s">
        <v>154</v>
      </c>
      <c r="K51" s="200" t="s">
        <v>142</v>
      </c>
    </row>
    <row r="52" spans="2:11" x14ac:dyDescent="0.45">
      <c r="B52" s="54" t="s">
        <v>214</v>
      </c>
      <c r="C52" s="142" t="s">
        <v>122</v>
      </c>
      <c r="D52" s="142" t="s">
        <v>111</v>
      </c>
      <c r="E52" s="142"/>
      <c r="F52" s="205"/>
      <c r="G52" s="142" t="s">
        <v>87</v>
      </c>
      <c r="H52" s="142" t="s">
        <v>36</v>
      </c>
      <c r="I52" s="207" t="str">
        <f t="shared" si="0"/>
        <v>[담당자권한] 김아무개, 게시판쓰기 권한 추가</v>
      </c>
      <c r="J52" s="199" t="s">
        <v>154</v>
      </c>
      <c r="K52" s="200" t="s">
        <v>143</v>
      </c>
    </row>
    <row r="53" spans="2:11" x14ac:dyDescent="0.45">
      <c r="B53" s="54" t="s">
        <v>225</v>
      </c>
      <c r="C53" s="142" t="s">
        <v>122</v>
      </c>
      <c r="D53" s="142" t="s">
        <v>111</v>
      </c>
      <c r="E53" s="142"/>
      <c r="F53" s="205"/>
      <c r="G53" s="142" t="s">
        <v>104</v>
      </c>
      <c r="H53" s="142" t="s">
        <v>36</v>
      </c>
      <c r="I53" s="207" t="str">
        <f t="shared" si="0"/>
        <v>[담당자권한] 권안전, 게시판쓰기 권한 추가</v>
      </c>
      <c r="J53" s="199" t="s">
        <v>154</v>
      </c>
      <c r="K53" s="200" t="s">
        <v>144</v>
      </c>
    </row>
    <row r="54" spans="2:11" x14ac:dyDescent="0.45">
      <c r="B54" s="54" t="s">
        <v>226</v>
      </c>
      <c r="C54" s="142" t="s">
        <v>122</v>
      </c>
      <c r="D54" s="142" t="s">
        <v>111</v>
      </c>
      <c r="E54" s="142"/>
      <c r="F54" s="205"/>
      <c r="G54" s="142" t="s">
        <v>105</v>
      </c>
      <c r="H54" s="142" t="s">
        <v>36</v>
      </c>
      <c r="I54" s="207" t="str">
        <f t="shared" si="0"/>
        <v>[담당자권한] 오나라, 게시판쓰기 권한 추가</v>
      </c>
      <c r="J54" s="199" t="s">
        <v>154</v>
      </c>
      <c r="K54" s="200" t="s">
        <v>145</v>
      </c>
    </row>
    <row r="55" spans="2:11" x14ac:dyDescent="0.45">
      <c r="B55" s="54" t="s">
        <v>227</v>
      </c>
      <c r="C55" s="142" t="s">
        <v>122</v>
      </c>
      <c r="D55" s="142" t="s">
        <v>110</v>
      </c>
      <c r="E55" s="148" t="s">
        <v>63</v>
      </c>
      <c r="F55" s="148" t="s">
        <v>63</v>
      </c>
      <c r="G55" s="142" t="s">
        <v>87</v>
      </c>
      <c r="H55" s="142" t="s">
        <v>36</v>
      </c>
      <c r="I55" s="207" t="str">
        <f t="shared" si="0"/>
        <v>[담당자권한] 김아무개, 게시판읽기 권한 추가</v>
      </c>
      <c r="J55" s="142" t="s">
        <v>154</v>
      </c>
      <c r="K55" s="200" t="s">
        <v>150</v>
      </c>
    </row>
    <row r="56" spans="2:11" x14ac:dyDescent="0.45">
      <c r="B56" s="54" t="s">
        <v>228</v>
      </c>
      <c r="C56" s="142" t="s">
        <v>124</v>
      </c>
      <c r="D56" s="142" t="s">
        <v>111</v>
      </c>
      <c r="E56" s="148" t="s">
        <v>63</v>
      </c>
      <c r="F56" s="148" t="s">
        <v>63</v>
      </c>
      <c r="G56" s="142" t="s">
        <v>102</v>
      </c>
      <c r="H56" s="142" t="s">
        <v>36</v>
      </c>
      <c r="I56" s="207" t="str">
        <f t="shared" si="0"/>
        <v>[부서권한] 정보화팀, 게시판쓰기 권한 추가</v>
      </c>
      <c r="J56" s="142" t="s">
        <v>153</v>
      </c>
      <c r="K56" s="200" t="s">
        <v>151</v>
      </c>
    </row>
    <row r="57" spans="2:11" x14ac:dyDescent="0.45">
      <c r="B57" s="54" t="s">
        <v>242</v>
      </c>
      <c r="C57" s="142" t="s">
        <v>123</v>
      </c>
      <c r="D57" s="142" t="s">
        <v>111</v>
      </c>
      <c r="E57" s="148" t="s">
        <v>63</v>
      </c>
      <c r="F57" s="148" t="s">
        <v>63</v>
      </c>
      <c r="G57" s="142" t="s">
        <v>115</v>
      </c>
      <c r="H57" s="142" t="s">
        <v>37</v>
      </c>
      <c r="I57" s="207" t="str">
        <f t="shared" si="0"/>
        <v>[전문가권한] 안전문가, 게시판쓰기 권한삭제</v>
      </c>
      <c r="J57" s="142" t="s">
        <v>155</v>
      </c>
      <c r="K57" s="200" t="s">
        <v>152</v>
      </c>
    </row>
    <row r="58" spans="2:11" x14ac:dyDescent="0.45">
      <c r="B58" s="54" t="s">
        <v>243</v>
      </c>
      <c r="C58" s="142" t="s">
        <v>122</v>
      </c>
      <c r="D58" s="142" t="s">
        <v>111</v>
      </c>
      <c r="E58" s="148" t="s">
        <v>63</v>
      </c>
      <c r="F58" s="148" t="s">
        <v>63</v>
      </c>
      <c r="G58" s="142" t="s">
        <v>161</v>
      </c>
      <c r="H58" s="142" t="s">
        <v>36</v>
      </c>
      <c r="I58" s="207" t="str">
        <f t="shared" si="0"/>
        <v>[담당자권한] 김사원, 게시판쓰기 권한 추가</v>
      </c>
      <c r="J58" s="199" t="s">
        <v>153</v>
      </c>
      <c r="K58" s="200" t="s">
        <v>156</v>
      </c>
    </row>
    <row r="59" spans="2:11" x14ac:dyDescent="0.45">
      <c r="B59" s="54" t="s">
        <v>244</v>
      </c>
      <c r="C59" s="142" t="s">
        <v>122</v>
      </c>
      <c r="D59" s="142" t="s">
        <v>111</v>
      </c>
      <c r="E59" s="142"/>
      <c r="F59" s="205"/>
      <c r="G59" s="142" t="s">
        <v>162</v>
      </c>
      <c r="H59" s="142" t="s">
        <v>36</v>
      </c>
      <c r="I59" s="207" t="str">
        <f t="shared" si="0"/>
        <v>[담당자권한] 권대리, 게시판쓰기 권한 추가</v>
      </c>
      <c r="J59" s="142" t="s">
        <v>153</v>
      </c>
      <c r="K59" s="200" t="s">
        <v>156</v>
      </c>
    </row>
    <row r="60" spans="2:11" x14ac:dyDescent="0.45">
      <c r="B60" s="54" t="s">
        <v>245</v>
      </c>
      <c r="C60" s="142" t="s">
        <v>122</v>
      </c>
      <c r="D60" s="142" t="s">
        <v>111</v>
      </c>
      <c r="E60" s="142"/>
      <c r="F60" s="205"/>
      <c r="G60" s="142" t="s">
        <v>163</v>
      </c>
      <c r="H60" s="142" t="s">
        <v>36</v>
      </c>
      <c r="I60" s="207" t="str">
        <f t="shared" si="0"/>
        <v>[담당자권한] 오부장, 게시판쓰기 권한 추가</v>
      </c>
      <c r="J60" s="142" t="s">
        <v>153</v>
      </c>
      <c r="K60" s="200" t="s">
        <v>156</v>
      </c>
    </row>
    <row r="61" spans="2:11" x14ac:dyDescent="0.45">
      <c r="B61" s="54" t="s">
        <v>246</v>
      </c>
      <c r="C61" s="142" t="s">
        <v>122</v>
      </c>
      <c r="D61" s="142" t="s">
        <v>111</v>
      </c>
      <c r="E61" s="142"/>
      <c r="F61" s="205"/>
      <c r="G61" s="142" t="s">
        <v>164</v>
      </c>
      <c r="H61" s="142" t="s">
        <v>36</v>
      </c>
      <c r="I61" s="207" t="str">
        <f t="shared" si="0"/>
        <v>[담당자권한] 안차장, 게시판쓰기 권한 추가</v>
      </c>
      <c r="J61" s="142" t="s">
        <v>153</v>
      </c>
      <c r="K61" s="200" t="s">
        <v>156</v>
      </c>
    </row>
    <row r="62" spans="2:11" x14ac:dyDescent="0.45">
      <c r="B62" s="54" t="s">
        <v>247</v>
      </c>
      <c r="C62" s="142" t="s">
        <v>235</v>
      </c>
      <c r="D62" s="142" t="s">
        <v>236</v>
      </c>
      <c r="E62" s="148" t="s">
        <v>63</v>
      </c>
      <c r="F62" s="148" t="s">
        <v>63</v>
      </c>
      <c r="G62" s="142" t="s">
        <v>283</v>
      </c>
      <c r="H62" s="142" t="s">
        <v>36</v>
      </c>
      <c r="I62" s="207" t="str">
        <f>IF(OR(C62="PIC", C62="DEP", C62 ="EXP", C62="BAT"),CONCATENATE(IF(C62="PIC","[담당자권한] ",IF(C62="DEP","[부서권한] ",IF(C62="EXP","[전문가권한] ", IF(C62="BAT","[인사배치] ","")))),G62,", ", D62, IF(H62="ADD"," 권한 추가",""), IF(H62="DEL"," 권한삭제","")),"")</f>
        <v>[인사배치] 김재직, 부서권한A 권한 추가</v>
      </c>
      <c r="J62" s="205" t="s">
        <v>284</v>
      </c>
      <c r="K62" s="200" t="s">
        <v>239</v>
      </c>
    </row>
    <row r="63" spans="2:11" x14ac:dyDescent="0.45">
      <c r="B63" s="54" t="s">
        <v>248</v>
      </c>
      <c r="C63" s="142" t="s">
        <v>235</v>
      </c>
      <c r="D63" s="142" t="s">
        <v>236</v>
      </c>
      <c r="E63" s="148" t="s">
        <v>169</v>
      </c>
      <c r="F63" s="148" t="s">
        <v>169</v>
      </c>
      <c r="G63" s="142" t="s">
        <v>237</v>
      </c>
      <c r="H63" s="142" t="s">
        <v>176</v>
      </c>
      <c r="I63" s="207" t="str">
        <f>IF(OR(C63="PIC", C63="DEP", C63 ="EXP", C63="BAT"),CONCATENATE(IF(C63="PIC","[담당자권한] ",IF(C63="DEP","[부서권한] ",IF(C63="EXP","[전문가권한] ", IF(C63="BAT","[인사배치] ","")))),G63,", ", D63, IF(H63="ADD"," 권한 추가",""), IF(H63="DEL"," 권한삭제","")),"")</f>
        <v>[인사배치] 박신입, 부서권한A 권한 추가</v>
      </c>
      <c r="J63" s="142" t="s">
        <v>238</v>
      </c>
      <c r="K63" s="200" t="s">
        <v>239</v>
      </c>
    </row>
    <row r="64" spans="2:11" x14ac:dyDescent="0.45">
      <c r="B64" s="54" t="s">
        <v>249</v>
      </c>
      <c r="C64" s="142" t="s">
        <v>124</v>
      </c>
      <c r="D64" s="142" t="s">
        <v>111</v>
      </c>
      <c r="E64" s="148" t="s">
        <v>63</v>
      </c>
      <c r="F64" s="148" t="s">
        <v>63</v>
      </c>
      <c r="G64" s="142" t="s">
        <v>102</v>
      </c>
      <c r="H64" s="142" t="s">
        <v>36</v>
      </c>
      <c r="I64" s="207" t="str">
        <f t="shared" ref="I64:I69" si="1">IF(OR(C64="PIC", C64="DEP", C64 ="EXP"),CONCATENATE(IF(C64="PIC","[담당자권한] ",IF(C64="DEP","[부서권한] ",IF(C64="EXP","[전문가권한] ",""))),G64,", ", D64, IF(H64="ADD"," 권한 추가",""), IF(H64="DEL"," 권한삭제","")),"")</f>
        <v>[부서권한] 정보화팀, 게시판쓰기 권한 추가</v>
      </c>
      <c r="J64" s="199" t="s">
        <v>153</v>
      </c>
      <c r="K64" s="200" t="s">
        <v>140</v>
      </c>
    </row>
    <row r="65" spans="2:11" x14ac:dyDescent="0.45">
      <c r="B65" s="54" t="s">
        <v>250</v>
      </c>
      <c r="C65" s="142" t="s">
        <v>122</v>
      </c>
      <c r="D65" s="142" t="s">
        <v>111</v>
      </c>
      <c r="E65" s="148" t="s">
        <v>63</v>
      </c>
      <c r="F65" s="148" t="s">
        <v>63</v>
      </c>
      <c r="G65" s="142" t="s">
        <v>161</v>
      </c>
      <c r="H65" s="142" t="s">
        <v>36</v>
      </c>
      <c r="I65" s="207" t="str">
        <f t="shared" si="1"/>
        <v>[담당자권한] 김사원, 게시판쓰기 권한 추가</v>
      </c>
      <c r="J65" s="199" t="s">
        <v>153</v>
      </c>
      <c r="K65" s="200" t="s">
        <v>156</v>
      </c>
    </row>
    <row r="66" spans="2:11" x14ac:dyDescent="0.45">
      <c r="B66" s="54" t="s">
        <v>251</v>
      </c>
      <c r="C66" s="142" t="s">
        <v>122</v>
      </c>
      <c r="D66" s="142" t="s">
        <v>111</v>
      </c>
      <c r="E66" s="148" t="s">
        <v>63</v>
      </c>
      <c r="F66" s="148" t="s">
        <v>63</v>
      </c>
      <c r="G66" s="142" t="s">
        <v>162</v>
      </c>
      <c r="H66" s="142" t="s">
        <v>35</v>
      </c>
      <c r="I66" s="207" t="str">
        <f t="shared" si="1"/>
        <v>[담당자권한] 권대리, 게시판쓰기 권한 추가</v>
      </c>
      <c r="J66" s="199" t="s">
        <v>153</v>
      </c>
      <c r="K66" s="200" t="s">
        <v>156</v>
      </c>
    </row>
    <row r="67" spans="2:11" x14ac:dyDescent="0.45">
      <c r="B67" s="54" t="s">
        <v>252</v>
      </c>
      <c r="C67" s="142" t="s">
        <v>122</v>
      </c>
      <c r="D67" s="142" t="s">
        <v>111</v>
      </c>
      <c r="E67" s="148" t="s">
        <v>63</v>
      </c>
      <c r="F67" s="148" t="s">
        <v>63</v>
      </c>
      <c r="G67" s="142" t="s">
        <v>163</v>
      </c>
      <c r="H67" s="142" t="s">
        <v>36</v>
      </c>
      <c r="I67" s="207" t="str">
        <f t="shared" si="1"/>
        <v>[담당자권한] 오부장, 게시판쓰기 권한 추가</v>
      </c>
      <c r="J67" s="199" t="s">
        <v>153</v>
      </c>
      <c r="K67" s="200" t="s">
        <v>156</v>
      </c>
    </row>
    <row r="68" spans="2:11" x14ac:dyDescent="0.45">
      <c r="B68" s="54" t="s">
        <v>253</v>
      </c>
      <c r="C68" s="142" t="s">
        <v>122</v>
      </c>
      <c r="D68" s="142" t="s">
        <v>111</v>
      </c>
      <c r="E68" s="148" t="s">
        <v>63</v>
      </c>
      <c r="F68" s="148" t="s">
        <v>63</v>
      </c>
      <c r="G68" s="142" t="s">
        <v>164</v>
      </c>
      <c r="H68" s="142" t="s">
        <v>36</v>
      </c>
      <c r="I68" s="207" t="str">
        <f t="shared" si="1"/>
        <v>[담당자권한] 안차장, 게시판쓰기 권한 추가</v>
      </c>
      <c r="J68" s="199" t="s">
        <v>153</v>
      </c>
      <c r="K68" s="200" t="s">
        <v>156</v>
      </c>
    </row>
    <row r="69" spans="2:11" x14ac:dyDescent="0.45">
      <c r="B69" s="54" t="s">
        <v>254</v>
      </c>
      <c r="C69" s="142" t="s">
        <v>124</v>
      </c>
      <c r="D69" s="142" t="s">
        <v>111</v>
      </c>
      <c r="E69" s="148" t="s">
        <v>63</v>
      </c>
      <c r="F69" s="148" t="s">
        <v>63</v>
      </c>
      <c r="G69" s="142" t="s">
        <v>102</v>
      </c>
      <c r="H69" s="142" t="s">
        <v>36</v>
      </c>
      <c r="I69" s="207" t="str">
        <f t="shared" si="1"/>
        <v>[부서권한] 정보화팀, 게시판쓰기 권한 추가</v>
      </c>
      <c r="J69" s="199" t="s">
        <v>153</v>
      </c>
      <c r="K69" s="200" t="s">
        <v>140</v>
      </c>
    </row>
    <row r="70" spans="2:11" x14ac:dyDescent="0.45">
      <c r="B70" s="54" t="s">
        <v>255</v>
      </c>
      <c r="C70" s="142" t="s">
        <v>125</v>
      </c>
      <c r="D70" s="142" t="s">
        <v>90</v>
      </c>
      <c r="E70" s="148" t="s">
        <v>97</v>
      </c>
      <c r="F70" s="148" t="s">
        <v>175</v>
      </c>
      <c r="G70" s="148" t="s">
        <v>63</v>
      </c>
      <c r="H70" s="142" t="s">
        <v>36</v>
      </c>
      <c r="I70" s="207" t="str">
        <f>CONCATENATE(IF(C70="BBS","[게시판] ",IF(C70="MNU","[권한별메뉴] ",IF(C70="GRP","[권한 그룹] ",""))),(CONCATENATE(D70,"권한 ",E70,"(",F70,")",IF(H70="ADD"," 추가"," 제거"))))</f>
        <v>[권한별메뉴] 정보화_기본권한 정보화_메뉴1(FILE) 추가</v>
      </c>
      <c r="J70" s="199" t="s">
        <v>170</v>
      </c>
      <c r="K70" s="200" t="s">
        <v>140</v>
      </c>
    </row>
    <row r="71" spans="2:11" x14ac:dyDescent="0.45">
      <c r="B71" s="54" t="s">
        <v>256</v>
      </c>
      <c r="C71" s="142" t="s">
        <v>122</v>
      </c>
      <c r="D71" s="142" t="s">
        <v>90</v>
      </c>
      <c r="E71" s="148" t="s">
        <v>97</v>
      </c>
      <c r="F71" s="148" t="s">
        <v>175</v>
      </c>
      <c r="G71" s="142" t="s">
        <v>161</v>
      </c>
      <c r="H71" s="142" t="s">
        <v>36</v>
      </c>
      <c r="I71" s="207" t="str">
        <f>IF(OR(C71="PIC",C71="DEP",C71="EXP"),CONCATENATE(IF(C71="PIC","[담당자권한] ",IF(C71="DEP","[부서권한] ",IF(C71="EXP","[전문가권한] ",""))),G71,", ",D71,IF(H71="ADD"," 권한 추가",""),IF(F71&lt;&gt;"","("&amp;F71&amp;")",""),IF(H71="DEL"," 권한삭제","")),"")</f>
        <v>[담당자권한] 김사원, 정보화_기본 권한 추가(FILE)</v>
      </c>
      <c r="J71" s="199" t="s">
        <v>153</v>
      </c>
      <c r="K71" s="200" t="s">
        <v>156</v>
      </c>
    </row>
    <row r="72" spans="2:11" x14ac:dyDescent="0.45">
      <c r="B72" s="54" t="s">
        <v>257</v>
      </c>
      <c r="C72" s="142" t="s">
        <v>122</v>
      </c>
      <c r="D72" s="142" t="s">
        <v>90</v>
      </c>
      <c r="E72" s="148" t="s">
        <v>97</v>
      </c>
      <c r="F72" s="148" t="s">
        <v>175</v>
      </c>
      <c r="G72" s="142" t="s">
        <v>162</v>
      </c>
      <c r="H72" s="142" t="s">
        <v>35</v>
      </c>
      <c r="I72" s="207" t="str">
        <f t="shared" ref="I72:I74" si="2">IF(OR(C72="PIC",C72="DEP",C72="EXP"),CONCATENATE(IF(C72="PIC","[담당자권한] ",IF(C72="DEP","[부서권한] ",IF(C72="EXP","[전문가권한] ",""))),G72,", ",D72,IF(H72="ADD"," 권한 추가",""),IF(F72&lt;&gt;"","("&amp;F72&amp;")",""),IF(H72="DEL"," 권한삭제","")),"")</f>
        <v>[담당자권한] 권대리, 정보화_기본 권한 추가(FILE)</v>
      </c>
      <c r="J72" s="199" t="s">
        <v>153</v>
      </c>
      <c r="K72" s="200" t="s">
        <v>156</v>
      </c>
    </row>
    <row r="73" spans="2:11" x14ac:dyDescent="0.45">
      <c r="B73" s="54" t="s">
        <v>258</v>
      </c>
      <c r="C73" s="142" t="s">
        <v>122</v>
      </c>
      <c r="D73" s="142" t="s">
        <v>90</v>
      </c>
      <c r="E73" s="148" t="s">
        <v>97</v>
      </c>
      <c r="F73" s="148" t="s">
        <v>175</v>
      </c>
      <c r="G73" s="142" t="s">
        <v>163</v>
      </c>
      <c r="H73" s="142" t="s">
        <v>36</v>
      </c>
      <c r="I73" s="207" t="str">
        <f t="shared" si="2"/>
        <v>[담당자권한] 오부장, 정보화_기본 권한 추가(FILE)</v>
      </c>
      <c r="J73" s="199" t="s">
        <v>153</v>
      </c>
      <c r="K73" s="200" t="s">
        <v>156</v>
      </c>
    </row>
    <row r="74" spans="2:11" x14ac:dyDescent="0.45">
      <c r="B74" s="54" t="s">
        <v>259</v>
      </c>
      <c r="C74" s="142" t="s">
        <v>122</v>
      </c>
      <c r="D74" s="142" t="s">
        <v>90</v>
      </c>
      <c r="E74" s="148" t="s">
        <v>97</v>
      </c>
      <c r="F74" s="148" t="s">
        <v>175</v>
      </c>
      <c r="G74" s="142" t="s">
        <v>164</v>
      </c>
      <c r="H74" s="142" t="s">
        <v>36</v>
      </c>
      <c r="I74" s="207" t="str">
        <f t="shared" si="2"/>
        <v>[담당자권한] 안차장, 정보화_기본 권한 추가(FILE)</v>
      </c>
      <c r="J74" s="199" t="s">
        <v>153</v>
      </c>
      <c r="K74" s="200" t="s">
        <v>156</v>
      </c>
    </row>
    <row r="75" spans="2:11" x14ac:dyDescent="0.45">
      <c r="B75" s="54" t="s">
        <v>260</v>
      </c>
      <c r="C75" s="142" t="s">
        <v>60</v>
      </c>
      <c r="D75" s="142" t="s">
        <v>90</v>
      </c>
      <c r="E75" s="148" t="s">
        <v>190</v>
      </c>
      <c r="F75" s="148"/>
      <c r="G75" s="148"/>
      <c r="H75" s="142" t="s">
        <v>37</v>
      </c>
      <c r="I75" s="207" t="str">
        <f>CONCATENATE(IF(C75="BBS","[게시판] ",IF(C75="MNU","[권한별메뉴] ",IF(C75="GRP","[권한 그룹] ",""))),(CONCATENATE(D75,"권한 ",E75,"(",F75,")",IF(H75="ADD"," 추가"," 제거"))))</f>
        <v>[게시판] 정보화_기본권한 정보화_게시판1() 제거</v>
      </c>
      <c r="J75" s="199" t="s">
        <v>191</v>
      </c>
      <c r="K75" s="200" t="s">
        <v>200</v>
      </c>
    </row>
    <row r="76" spans="2:11" x14ac:dyDescent="0.45">
      <c r="B76" s="54" t="s">
        <v>261</v>
      </c>
      <c r="C76" s="142" t="s">
        <v>60</v>
      </c>
      <c r="D76" s="142" t="s">
        <v>194</v>
      </c>
      <c r="E76" s="148" t="s">
        <v>190</v>
      </c>
      <c r="F76" s="148"/>
      <c r="G76" s="148"/>
      <c r="H76" s="142" t="s">
        <v>36</v>
      </c>
      <c r="I76" s="207" t="str">
        <f t="shared" ref="I76:I77" si="3">CONCATENATE(IF(C76="BBS","[게시판] ",IF(C76="MNU","[권한별메뉴] ",IF(C76="GRP","[권한 그룹] ",""))),(CONCATENATE(D76,"권한 ",E76,"(",F76,")",IF(H76="ADD"," 추가"," 제거"))))</f>
        <v>[게시판] 정보화_관리자권한 정보화_게시판1() 추가</v>
      </c>
      <c r="J76" s="199" t="s">
        <v>191</v>
      </c>
      <c r="K76" s="200" t="s">
        <v>199</v>
      </c>
    </row>
    <row r="77" spans="2:11" x14ac:dyDescent="0.45">
      <c r="B77" s="54" t="s">
        <v>262</v>
      </c>
      <c r="C77" s="142" t="s">
        <v>60</v>
      </c>
      <c r="D77" s="142" t="s">
        <v>195</v>
      </c>
      <c r="E77" s="148" t="s">
        <v>190</v>
      </c>
      <c r="F77" s="148"/>
      <c r="G77" s="148"/>
      <c r="H77" s="142" t="s">
        <v>36</v>
      </c>
      <c r="I77" s="207" t="str">
        <f t="shared" si="3"/>
        <v>[게시판] 정보화_담당자권한 정보화_게시판1() 추가</v>
      </c>
      <c r="J77" s="199" t="s">
        <v>191</v>
      </c>
      <c r="K77" s="200" t="s">
        <v>140</v>
      </c>
    </row>
    <row r="78" spans="2:11" x14ac:dyDescent="0.45">
      <c r="B78" s="54" t="s">
        <v>263</v>
      </c>
      <c r="C78" s="142" t="s">
        <v>122</v>
      </c>
      <c r="D78" s="142" t="s">
        <v>90</v>
      </c>
      <c r="E78" s="148" t="s">
        <v>190</v>
      </c>
      <c r="F78" s="148"/>
      <c r="G78" s="142" t="s">
        <v>161</v>
      </c>
      <c r="H78" s="142" t="s">
        <v>37</v>
      </c>
      <c r="I78" s="207" t="str">
        <f>IF(OR(C78="PIC",C78="DEP",C78="EXP"),CONCATENATE(IF(C78="PIC","[담당자권한] ",IF(C78="DEP","[부서권한] ",IF(C78="EXP","[전문가권한] ",""))),G78,", ",D78,"에서 ",E78,IF(H78="ADD"," 권한 추가",""),IF(F78&lt;&gt;"","("&amp;F78&amp;")",""),IF(H78="DEL"," 권한삭제","")),"")</f>
        <v>[담당자권한] 김사원, 정보화_기본에서 정보화_게시판1 권한삭제</v>
      </c>
      <c r="J78" s="199" t="s">
        <v>153</v>
      </c>
      <c r="K78" s="200" t="s">
        <v>156</v>
      </c>
    </row>
    <row r="79" spans="2:11" x14ac:dyDescent="0.45">
      <c r="B79" s="54" t="s">
        <v>264</v>
      </c>
      <c r="C79" s="142" t="s">
        <v>122</v>
      </c>
      <c r="D79" s="142" t="s">
        <v>194</v>
      </c>
      <c r="E79" s="148" t="s">
        <v>190</v>
      </c>
      <c r="F79" s="148"/>
      <c r="G79" s="142" t="s">
        <v>163</v>
      </c>
      <c r="H79" s="142" t="s">
        <v>36</v>
      </c>
      <c r="I79" s="207" t="str">
        <f t="shared" ref="I79:I80" si="4">IF(OR(C79="PIC",C79="DEP",C79="EXP"),CONCATENATE(IF(C79="PIC","[담당자권한] ",IF(C79="DEP","[부서권한] ",IF(C79="EXP","[전문가권한] ",""))),G79,", ",D79,"에서 ",E79,IF(H79="ADD"," 권한 추가",""),IF(F79&lt;&gt;"","("&amp;F79&amp;")",""),IF(H79="DEL"," 권한삭제","")),"")</f>
        <v>[담당자권한] 오부장, 정보화_관리자에서 정보화_게시판1 권한 추가</v>
      </c>
      <c r="J79" s="199" t="s">
        <v>153</v>
      </c>
      <c r="K79" s="200" t="s">
        <v>156</v>
      </c>
    </row>
    <row r="80" spans="2:11" x14ac:dyDescent="0.45">
      <c r="B80" s="54" t="s">
        <v>265</v>
      </c>
      <c r="C80" s="142" t="s">
        <v>122</v>
      </c>
      <c r="D80" s="142" t="s">
        <v>195</v>
      </c>
      <c r="E80" s="148" t="s">
        <v>190</v>
      </c>
      <c r="F80" s="148"/>
      <c r="G80" s="142" t="s">
        <v>162</v>
      </c>
      <c r="H80" s="142" t="s">
        <v>36</v>
      </c>
      <c r="I80" s="207" t="str">
        <f t="shared" si="4"/>
        <v>[담당자권한] 권대리, 정보화_담당자에서 정보화_게시판1 권한 추가</v>
      </c>
      <c r="J80" s="199" t="s">
        <v>153</v>
      </c>
      <c r="K80" s="200" t="s">
        <v>156</v>
      </c>
    </row>
    <row r="81" spans="2:11" x14ac:dyDescent="0.45">
      <c r="B81" s="54" t="s">
        <v>266</v>
      </c>
      <c r="C81" s="142" t="s">
        <v>61</v>
      </c>
      <c r="D81" s="142" t="s">
        <v>88</v>
      </c>
      <c r="E81" s="148" t="s">
        <v>63</v>
      </c>
      <c r="F81" s="148" t="s">
        <v>63</v>
      </c>
      <c r="G81" s="148" t="s">
        <v>63</v>
      </c>
      <c r="H81" s="142" t="s">
        <v>39</v>
      </c>
      <c r="I81" s="207" t="str">
        <f>CONCATENATE(IF(C81="BBS","[게시판] ",IF(C81="MNU","[권한별메뉴] ",IF(C81="GRP","[권한 그룹] ",""))),(CONCATENATE(D81,"권한 ",IF(C81&lt;&gt;"GRP",E81,""),IF(H81="ADD"," 추가",IF(H81="DEL"," 제거",IF(H81="USE","사용","미사용"))))))</f>
        <v>[권한 그룹] GRP_정보화팀권한 미사용</v>
      </c>
      <c r="J81" s="199" t="s">
        <v>204</v>
      </c>
      <c r="K81" s="200" t="s">
        <v>200</v>
      </c>
    </row>
    <row r="82" spans="2:11" x14ac:dyDescent="0.45">
      <c r="B82" s="54" t="s">
        <v>267</v>
      </c>
      <c r="C82" s="142" t="s">
        <v>61</v>
      </c>
      <c r="D82" s="142" t="s">
        <v>205</v>
      </c>
      <c r="E82" s="148" t="s">
        <v>63</v>
      </c>
      <c r="F82" s="148" t="s">
        <v>63</v>
      </c>
      <c r="G82" s="148" t="s">
        <v>63</v>
      </c>
      <c r="H82" s="142" t="s">
        <v>38</v>
      </c>
      <c r="I82" s="207" t="str">
        <f t="shared" ref="I82:I83" si="5">CONCATENATE(IF(C82="BBS","[게시판] ",IF(C82="MNU","[권한별메뉴] ",IF(C82="GRP","[권한 그룹] ",""))),(CONCATENATE(D82,"권한 ",IF(C82&lt;&gt;"GRP",E82,""),IF(H82="ADD"," 추가",IF(H82="DEL"," 제거",IF(H82="USE","사용","미사용"))))))</f>
        <v>[권한 그룹] GRP_DUR팀권한 사용</v>
      </c>
      <c r="J82" s="199" t="s">
        <v>204</v>
      </c>
      <c r="K82" s="200" t="s">
        <v>199</v>
      </c>
    </row>
    <row r="83" spans="2:11" x14ac:dyDescent="0.45">
      <c r="B83" s="54" t="s">
        <v>268</v>
      </c>
      <c r="C83" s="142" t="s">
        <v>61</v>
      </c>
      <c r="D83" s="142" t="s">
        <v>206</v>
      </c>
      <c r="E83" s="148" t="s">
        <v>63</v>
      </c>
      <c r="F83" s="148" t="s">
        <v>63</v>
      </c>
      <c r="G83" s="148" t="s">
        <v>63</v>
      </c>
      <c r="H83" s="142" t="s">
        <v>38</v>
      </c>
      <c r="I83" s="207" t="str">
        <f t="shared" si="5"/>
        <v>[권한 그룹] GRP_신규권한그룹권한 사용</v>
      </c>
      <c r="J83" s="199" t="s">
        <v>204</v>
      </c>
      <c r="K83" s="200" t="s">
        <v>140</v>
      </c>
    </row>
    <row r="84" spans="2:11" x14ac:dyDescent="0.45">
      <c r="B84" s="54" t="s">
        <v>269</v>
      </c>
      <c r="C84" s="142" t="s">
        <v>122</v>
      </c>
      <c r="D84" s="142" t="s">
        <v>90</v>
      </c>
      <c r="E84" s="148"/>
      <c r="F84" s="148"/>
      <c r="G84" s="142" t="s">
        <v>161</v>
      </c>
      <c r="H84" s="142" t="s">
        <v>37</v>
      </c>
      <c r="I84" s="207" t="str">
        <f>IF(OR(C84="PIC",C84="DEP",C84="EXP"),CONCATENATE(IF(C84="PIC","[담당자권한] ",IF(C84="DEP","[부서권한] ",IF(C84="EXP","[전문가권한] ",""))),G84,", ",D84,E84,IF(H84="ADD"," 권한 사용",""),IF(F84&lt;&gt;"","("&amp;F84&amp;")",""),IF(H84="DEL"," 권한 미사용","")),"")</f>
        <v>[담당자권한] 김사원, 정보화_기본 권한 미사용</v>
      </c>
      <c r="J84" s="199" t="s">
        <v>153</v>
      </c>
      <c r="K84" s="200" t="s">
        <v>156</v>
      </c>
    </row>
    <row r="85" spans="2:11" x14ac:dyDescent="0.45">
      <c r="B85" s="54" t="s">
        <v>270</v>
      </c>
      <c r="C85" s="142" t="s">
        <v>122</v>
      </c>
      <c r="D85" s="142" t="s">
        <v>194</v>
      </c>
      <c r="E85" s="148"/>
      <c r="F85" s="148"/>
      <c r="G85" s="142" t="s">
        <v>162</v>
      </c>
      <c r="H85" s="142" t="s">
        <v>37</v>
      </c>
      <c r="I85" s="207" t="str">
        <f t="shared" ref="I85:I97" si="6">IF(OR(C85="PIC",C85="DEP",C85="EXP"),CONCATENATE(IF(C85="PIC","[담당자권한] ",IF(C85="DEP","[부서권한] ",IF(C85="EXP","[전문가권한] ",""))),G85,", ",D85,E85,IF(H85="ADD"," 권한 사용",""),IF(F85&lt;&gt;"","("&amp;F85&amp;")",""),IF(H85="DEL"," 권한 미사용","")),"")</f>
        <v>[담당자권한] 권대리, 정보화_관리자 권한 미사용</v>
      </c>
      <c r="J85" s="199" t="s">
        <v>153</v>
      </c>
      <c r="K85" s="200" t="s">
        <v>156</v>
      </c>
    </row>
    <row r="86" spans="2:11" x14ac:dyDescent="0.45">
      <c r="B86" s="54" t="s">
        <v>271</v>
      </c>
      <c r="C86" s="142" t="s">
        <v>122</v>
      </c>
      <c r="D86" s="142" t="s">
        <v>195</v>
      </c>
      <c r="E86" s="148"/>
      <c r="F86" s="148"/>
      <c r="G86" s="142" t="s">
        <v>163</v>
      </c>
      <c r="H86" s="142" t="s">
        <v>37</v>
      </c>
      <c r="I86" s="207" t="str">
        <f t="shared" si="6"/>
        <v>[담당자권한] 오부장, 정보화_담당자 권한 미사용</v>
      </c>
      <c r="J86" s="199" t="s">
        <v>153</v>
      </c>
      <c r="K86" s="200" t="s">
        <v>156</v>
      </c>
    </row>
    <row r="87" spans="2:11" x14ac:dyDescent="0.45">
      <c r="B87" s="54" t="s">
        <v>272</v>
      </c>
      <c r="C87" s="142" t="s">
        <v>122</v>
      </c>
      <c r="D87" s="142" t="s">
        <v>201</v>
      </c>
      <c r="E87" s="148"/>
      <c r="F87" s="148"/>
      <c r="G87" s="142" t="s">
        <v>164</v>
      </c>
      <c r="H87" s="142" t="s">
        <v>37</v>
      </c>
      <c r="I87" s="207" t="str">
        <f t="shared" si="6"/>
        <v>[담당자권한] 안차장, 정보화_최고관리자 권한 미사용</v>
      </c>
      <c r="J87" s="199" t="s">
        <v>153</v>
      </c>
      <c r="K87" s="200" t="s">
        <v>156</v>
      </c>
    </row>
    <row r="88" spans="2:11" x14ac:dyDescent="0.45">
      <c r="B88" s="54" t="s">
        <v>273</v>
      </c>
      <c r="C88" s="142" t="s">
        <v>122</v>
      </c>
      <c r="D88" s="142" t="s">
        <v>215</v>
      </c>
      <c r="E88" s="148"/>
      <c r="F88" s="148"/>
      <c r="G88" s="142" t="s">
        <v>218</v>
      </c>
      <c r="H88" s="142" t="s">
        <v>36</v>
      </c>
      <c r="I88" s="207" t="str">
        <f t="shared" si="6"/>
        <v>[담당자권한] 유사원, DUR_기본 권한 사용</v>
      </c>
      <c r="J88" s="199" t="s">
        <v>153</v>
      </c>
      <c r="K88" s="200" t="s">
        <v>156</v>
      </c>
    </row>
    <row r="89" spans="2:11" x14ac:dyDescent="0.45">
      <c r="B89" s="54" t="s">
        <v>274</v>
      </c>
      <c r="C89" s="142" t="s">
        <v>122</v>
      </c>
      <c r="D89" s="142" t="s">
        <v>216</v>
      </c>
      <c r="E89" s="148"/>
      <c r="F89" s="148"/>
      <c r="G89" s="142" t="s">
        <v>219</v>
      </c>
      <c r="H89" s="142" t="s">
        <v>36</v>
      </c>
      <c r="I89" s="207" t="str">
        <f t="shared" si="6"/>
        <v>[담당자권한] 유담당, DUR_담당자 권한 사용</v>
      </c>
      <c r="J89" s="199" t="s">
        <v>153</v>
      </c>
      <c r="K89" s="200" t="s">
        <v>156</v>
      </c>
    </row>
    <row r="90" spans="2:11" x14ac:dyDescent="0.45">
      <c r="B90" s="54" t="s">
        <v>275</v>
      </c>
      <c r="C90" s="142" t="s">
        <v>122</v>
      </c>
      <c r="D90" s="142" t="s">
        <v>216</v>
      </c>
      <c r="E90" s="148"/>
      <c r="F90" s="148"/>
      <c r="G90" s="142" t="s">
        <v>220</v>
      </c>
      <c r="H90" s="142" t="s">
        <v>36</v>
      </c>
      <c r="I90" s="207" t="str">
        <f t="shared" si="6"/>
        <v>[담당자권한] 유당담, DUR_담당자 권한 사용</v>
      </c>
      <c r="J90" s="199" t="s">
        <v>153</v>
      </c>
      <c r="K90" s="200" t="s">
        <v>156</v>
      </c>
    </row>
    <row r="91" spans="2:11" x14ac:dyDescent="0.45">
      <c r="B91" s="54" t="s">
        <v>276</v>
      </c>
      <c r="C91" s="142" t="s">
        <v>122</v>
      </c>
      <c r="D91" s="142" t="s">
        <v>217</v>
      </c>
      <c r="E91" s="148"/>
      <c r="F91" s="148"/>
      <c r="G91" s="142" t="s">
        <v>221</v>
      </c>
      <c r="H91" s="142" t="s">
        <v>36</v>
      </c>
      <c r="I91" s="207" t="str">
        <f t="shared" si="6"/>
        <v>[담당자권한] 유관리, DUR_관리자 권한 사용</v>
      </c>
      <c r="J91" s="199" t="s">
        <v>153</v>
      </c>
      <c r="K91" s="200" t="s">
        <v>156</v>
      </c>
    </row>
    <row r="92" spans="2:11" x14ac:dyDescent="0.45">
      <c r="B92" s="54" t="s">
        <v>277</v>
      </c>
      <c r="C92" s="142" t="s">
        <v>122</v>
      </c>
      <c r="D92" s="142" t="s">
        <v>222</v>
      </c>
      <c r="E92" s="148"/>
      <c r="F92" s="148"/>
      <c r="G92" s="142" t="s">
        <v>229</v>
      </c>
      <c r="H92" s="142" t="s">
        <v>36</v>
      </c>
      <c r="I92" s="207" t="str">
        <f t="shared" si="6"/>
        <v>[담당자권한] 신사원, 신규_기본 권한 사용</v>
      </c>
      <c r="J92" s="199" t="s">
        <v>153</v>
      </c>
      <c r="K92" s="200" t="s">
        <v>156</v>
      </c>
    </row>
    <row r="93" spans="2:11" x14ac:dyDescent="0.45">
      <c r="B93" s="54" t="s">
        <v>278</v>
      </c>
      <c r="C93" s="142" t="s">
        <v>122</v>
      </c>
      <c r="D93" s="142" t="s">
        <v>223</v>
      </c>
      <c r="E93" s="148"/>
      <c r="F93" s="148"/>
      <c r="G93" s="142" t="s">
        <v>230</v>
      </c>
      <c r="H93" s="142" t="s">
        <v>36</v>
      </c>
      <c r="I93" s="207" t="str">
        <f t="shared" si="6"/>
        <v>[담당자권한] 신담당, 신규_담당자 권한 사용</v>
      </c>
      <c r="J93" s="199" t="s">
        <v>153</v>
      </c>
      <c r="K93" s="200" t="s">
        <v>156</v>
      </c>
    </row>
    <row r="94" spans="2:11" x14ac:dyDescent="0.45">
      <c r="B94" s="54" t="s">
        <v>279</v>
      </c>
      <c r="C94" s="142" t="s">
        <v>122</v>
      </c>
      <c r="D94" s="142" t="s">
        <v>223</v>
      </c>
      <c r="E94" s="148"/>
      <c r="F94" s="148"/>
      <c r="G94" s="142" t="s">
        <v>231</v>
      </c>
      <c r="H94" s="142" t="s">
        <v>36</v>
      </c>
      <c r="I94" s="207" t="str">
        <f t="shared" si="6"/>
        <v>[담당자권한] 심당담, 신규_담당자 권한 사용</v>
      </c>
      <c r="J94" s="199" t="s">
        <v>153</v>
      </c>
      <c r="K94" s="200" t="s">
        <v>156</v>
      </c>
    </row>
    <row r="95" spans="2:11" x14ac:dyDescent="0.45">
      <c r="B95" s="54" t="s">
        <v>280</v>
      </c>
      <c r="C95" s="142" t="s">
        <v>122</v>
      </c>
      <c r="D95" s="142" t="s">
        <v>223</v>
      </c>
      <c r="E95" s="148"/>
      <c r="F95" s="148"/>
      <c r="G95" s="142" t="s">
        <v>232</v>
      </c>
      <c r="H95" s="142" t="s">
        <v>36</v>
      </c>
      <c r="I95" s="207" t="str">
        <f t="shared" si="6"/>
        <v>[담당자권한] 담신당, 신규_담당자 권한 사용</v>
      </c>
      <c r="J95" s="199" t="s">
        <v>153</v>
      </c>
      <c r="K95" s="200" t="s">
        <v>156</v>
      </c>
    </row>
    <row r="96" spans="2:11" x14ac:dyDescent="0.45">
      <c r="B96" s="54" t="s">
        <v>281</v>
      </c>
      <c r="C96" s="142" t="s">
        <v>122</v>
      </c>
      <c r="D96" s="142" t="s">
        <v>224</v>
      </c>
      <c r="E96" s="148"/>
      <c r="F96" s="148"/>
      <c r="G96" s="142" t="s">
        <v>233</v>
      </c>
      <c r="H96" s="142" t="s">
        <v>36</v>
      </c>
      <c r="I96" s="207" t="str">
        <f t="shared" si="6"/>
        <v>[담당자권한] 신관리, 신규_관리자 권한 사용</v>
      </c>
      <c r="J96" s="199" t="s">
        <v>153</v>
      </c>
      <c r="K96" s="200" t="s">
        <v>156</v>
      </c>
    </row>
    <row r="97" spans="2:11" ht="17.5" thickBot="1" x14ac:dyDescent="0.5">
      <c r="B97" s="55" t="s">
        <v>282</v>
      </c>
      <c r="C97" s="172" t="s">
        <v>122</v>
      </c>
      <c r="D97" s="172" t="s">
        <v>224</v>
      </c>
      <c r="E97" s="173"/>
      <c r="F97" s="173"/>
      <c r="G97" s="172" t="s">
        <v>234</v>
      </c>
      <c r="H97" s="172" t="s">
        <v>36</v>
      </c>
      <c r="I97" s="208" t="str">
        <f t="shared" si="6"/>
        <v>[담당자권한] 신리관, 신규_관리자 권한 사용</v>
      </c>
      <c r="J97" s="201" t="s">
        <v>153</v>
      </c>
      <c r="K97" s="202" t="s">
        <v>156</v>
      </c>
    </row>
  </sheetData>
  <mergeCells count="7">
    <mergeCell ref="B31:E31"/>
    <mergeCell ref="B44:E44"/>
    <mergeCell ref="D6:D9"/>
    <mergeCell ref="B6:B9"/>
    <mergeCell ref="B2:E2"/>
    <mergeCell ref="B15:E15"/>
    <mergeCell ref="B22:E22"/>
  </mergeCells>
  <phoneticPr fontId="2" type="noConversion"/>
  <hyperlinks>
    <hyperlink ref="G23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zoomScale="85" zoomScaleNormal="85" workbookViewId="0">
      <selection activeCell="C20" sqref="C20"/>
    </sheetView>
  </sheetViews>
  <sheetFormatPr defaultRowHeight="17" x14ac:dyDescent="0.45"/>
  <cols>
    <col min="1" max="1" width="3.58203125" customWidth="1"/>
    <col min="2" max="2" width="23.1640625" bestFit="1" customWidth="1"/>
    <col min="3" max="3" width="33.9140625" bestFit="1" customWidth="1"/>
    <col min="4" max="4" width="22.08203125" bestFit="1" customWidth="1"/>
    <col min="5" max="5" width="19.75" bestFit="1" customWidth="1"/>
    <col min="6" max="6" width="25.1640625" bestFit="1" customWidth="1"/>
    <col min="7" max="7" width="29.5" bestFit="1" customWidth="1"/>
    <col min="8" max="8" width="14.9140625" bestFit="1" customWidth="1"/>
    <col min="9" max="9" width="38.5" bestFit="1" customWidth="1"/>
    <col min="10" max="10" width="15" bestFit="1" customWidth="1"/>
    <col min="11" max="12" width="26.83203125" bestFit="1" customWidth="1"/>
  </cols>
  <sheetData>
    <row r="2" spans="2:12" ht="30" x14ac:dyDescent="0.45">
      <c r="B2" s="275" t="s">
        <v>138</v>
      </c>
      <c r="C2" s="275"/>
      <c r="D2" s="275"/>
      <c r="E2" s="275"/>
      <c r="F2" s="275"/>
      <c r="G2" s="275"/>
    </row>
    <row r="3" spans="2:12" ht="17.5" thickBot="1" x14ac:dyDescent="0.5"/>
    <row r="4" spans="2:12" ht="26" thickBot="1" x14ac:dyDescent="0.5">
      <c r="B4" s="7" t="s">
        <v>30</v>
      </c>
      <c r="C4" s="7" t="s">
        <v>3</v>
      </c>
      <c r="D4" s="7" t="s">
        <v>40</v>
      </c>
      <c r="F4" s="65" t="s">
        <v>30</v>
      </c>
      <c r="G4" s="67" t="s">
        <v>3</v>
      </c>
      <c r="I4" s="70" t="s">
        <v>130</v>
      </c>
      <c r="J4" s="71" t="s">
        <v>56</v>
      </c>
    </row>
    <row r="5" spans="2:12" x14ac:dyDescent="0.45">
      <c r="B5" s="16" t="s">
        <v>36</v>
      </c>
      <c r="C5" s="16" t="s">
        <v>31</v>
      </c>
      <c r="D5" s="16" t="s">
        <v>133</v>
      </c>
      <c r="F5" s="155" t="s">
        <v>124</v>
      </c>
      <c r="G5" s="156" t="s">
        <v>56</v>
      </c>
      <c r="I5" s="50" t="s">
        <v>161</v>
      </c>
      <c r="J5" s="72" t="s">
        <v>102</v>
      </c>
    </row>
    <row r="6" spans="2:12" x14ac:dyDescent="0.45">
      <c r="B6" s="16" t="s">
        <v>37</v>
      </c>
      <c r="C6" s="16" t="s">
        <v>32</v>
      </c>
      <c r="D6" s="16" t="s">
        <v>134</v>
      </c>
      <c r="F6" s="19" t="s">
        <v>122</v>
      </c>
      <c r="G6" s="45" t="s">
        <v>57</v>
      </c>
      <c r="I6" s="19" t="s">
        <v>162</v>
      </c>
      <c r="J6" s="73" t="s">
        <v>101</v>
      </c>
    </row>
    <row r="7" spans="2:12" x14ac:dyDescent="0.45">
      <c r="B7" s="6" t="s">
        <v>38</v>
      </c>
      <c r="C7" s="6" t="s">
        <v>33</v>
      </c>
      <c r="D7" s="81" t="s">
        <v>135</v>
      </c>
      <c r="F7" s="19" t="s">
        <v>123</v>
      </c>
      <c r="G7" s="45" t="s">
        <v>58</v>
      </c>
      <c r="I7" s="19" t="s">
        <v>163</v>
      </c>
      <c r="J7" s="73" t="s">
        <v>101</v>
      </c>
    </row>
    <row r="8" spans="2:12" ht="17.5" thickBot="1" x14ac:dyDescent="0.5">
      <c r="B8" s="6" t="s">
        <v>39</v>
      </c>
      <c r="C8" s="6" t="s">
        <v>34</v>
      </c>
      <c r="D8" s="82" t="s">
        <v>135</v>
      </c>
      <c r="F8" s="19" t="s">
        <v>60</v>
      </c>
      <c r="G8" s="45" t="s">
        <v>54</v>
      </c>
      <c r="I8" s="20" t="s">
        <v>164</v>
      </c>
      <c r="J8" s="74" t="s">
        <v>101</v>
      </c>
    </row>
    <row r="9" spans="2:12" ht="17.5" thickBot="1" x14ac:dyDescent="0.5">
      <c r="F9" s="19" t="s">
        <v>125</v>
      </c>
      <c r="G9" s="45" t="s">
        <v>13</v>
      </c>
    </row>
    <row r="10" spans="2:12" ht="17.5" thickBot="1" x14ac:dyDescent="0.5">
      <c r="F10" s="20" t="s">
        <v>61</v>
      </c>
      <c r="G10" s="47" t="s">
        <v>55</v>
      </c>
      <c r="I10" s="48" t="s">
        <v>89</v>
      </c>
      <c r="J10" s="49" t="s">
        <v>94</v>
      </c>
    </row>
    <row r="11" spans="2:12" ht="17.5" thickBot="1" x14ac:dyDescent="0.5">
      <c r="I11" s="50" t="s">
        <v>88</v>
      </c>
      <c r="J11" s="51" t="s">
        <v>63</v>
      </c>
    </row>
    <row r="12" spans="2:12" ht="17.5" thickBot="1" x14ac:dyDescent="0.5">
      <c r="B12" s="42" t="s">
        <v>103</v>
      </c>
      <c r="C12" s="43" t="s">
        <v>95</v>
      </c>
      <c r="E12" s="30" t="s">
        <v>95</v>
      </c>
      <c r="F12" s="31" t="s">
        <v>96</v>
      </c>
      <c r="G12" s="22" t="s">
        <v>68</v>
      </c>
      <c r="I12" s="17" t="s">
        <v>90</v>
      </c>
      <c r="J12" s="18" t="s">
        <v>88</v>
      </c>
      <c r="L12" s="9"/>
    </row>
    <row r="13" spans="2:12" x14ac:dyDescent="0.45">
      <c r="B13" s="50" t="s">
        <v>161</v>
      </c>
      <c r="C13" s="60" t="s">
        <v>90</v>
      </c>
      <c r="E13" s="88" t="s">
        <v>90</v>
      </c>
      <c r="F13" s="89" t="s">
        <v>97</v>
      </c>
      <c r="G13" s="29" t="s">
        <v>66</v>
      </c>
      <c r="I13" s="19" t="s">
        <v>92</v>
      </c>
      <c r="J13" s="18" t="s">
        <v>88</v>
      </c>
      <c r="L13" s="9"/>
    </row>
    <row r="14" spans="2:12" x14ac:dyDescent="0.45">
      <c r="B14" s="19" t="s">
        <v>162</v>
      </c>
      <c r="C14" s="40" t="s">
        <v>165</v>
      </c>
      <c r="E14" s="90" t="s">
        <v>92</v>
      </c>
      <c r="F14" s="24" t="s">
        <v>108</v>
      </c>
      <c r="G14" s="25" t="s">
        <v>0</v>
      </c>
      <c r="I14" s="17" t="s">
        <v>91</v>
      </c>
      <c r="J14" s="18" t="s">
        <v>88</v>
      </c>
      <c r="L14" s="9"/>
    </row>
    <row r="15" spans="2:12" x14ac:dyDescent="0.45">
      <c r="B15" s="19" t="s">
        <v>163</v>
      </c>
      <c r="C15" s="40" t="s">
        <v>166</v>
      </c>
      <c r="E15" s="90" t="s">
        <v>98</v>
      </c>
      <c r="F15" s="24" t="s">
        <v>97</v>
      </c>
      <c r="G15" s="25" t="s">
        <v>99</v>
      </c>
      <c r="I15" s="19" t="s">
        <v>160</v>
      </c>
      <c r="J15" s="18" t="s">
        <v>88</v>
      </c>
    </row>
    <row r="16" spans="2:12" ht="17.5" thickBot="1" x14ac:dyDescent="0.5">
      <c r="B16" s="20" t="s">
        <v>164</v>
      </c>
      <c r="C16" s="34" t="s">
        <v>88</v>
      </c>
      <c r="E16" s="91" t="s">
        <v>110</v>
      </c>
      <c r="F16" s="92" t="s">
        <v>114</v>
      </c>
      <c r="G16" s="27" t="s">
        <v>70</v>
      </c>
      <c r="I16" s="19" t="s">
        <v>109</v>
      </c>
      <c r="J16" s="123" t="s">
        <v>169</v>
      </c>
    </row>
    <row r="17" spans="1:11" ht="17.5" thickBot="1" x14ac:dyDescent="0.5">
      <c r="A17" s="15"/>
      <c r="I17" s="17" t="s">
        <v>110</v>
      </c>
      <c r="J17" s="45" t="s">
        <v>109</v>
      </c>
    </row>
    <row r="18" spans="1:11" ht="17.5" thickBot="1" x14ac:dyDescent="0.5">
      <c r="A18" s="15"/>
      <c r="E18" s="37" t="s">
        <v>100</v>
      </c>
      <c r="F18" s="38" t="s">
        <v>95</v>
      </c>
      <c r="I18" s="17" t="s">
        <v>111</v>
      </c>
      <c r="J18" s="45" t="s">
        <v>109</v>
      </c>
    </row>
    <row r="19" spans="1:11" ht="17.5" thickBot="1" x14ac:dyDescent="0.5">
      <c r="E19" s="35" t="s">
        <v>102</v>
      </c>
      <c r="F19" s="36" t="s">
        <v>88</v>
      </c>
      <c r="I19" s="17" t="s">
        <v>112</v>
      </c>
      <c r="J19" s="45" t="s">
        <v>109</v>
      </c>
    </row>
    <row r="20" spans="1:11" ht="17.5" thickBot="1" x14ac:dyDescent="0.5">
      <c r="I20" s="46" t="s">
        <v>113</v>
      </c>
      <c r="J20" s="47" t="s">
        <v>109</v>
      </c>
    </row>
    <row r="22" spans="1:11" ht="26" x14ac:dyDescent="0.45">
      <c r="B22" s="276" t="s">
        <v>157</v>
      </c>
      <c r="C22" s="276"/>
      <c r="D22" s="276"/>
      <c r="E22" s="276"/>
      <c r="F22" s="276"/>
    </row>
    <row r="23" spans="1:11" x14ac:dyDescent="0.45">
      <c r="B23" s="277" t="s">
        <v>158</v>
      </c>
      <c r="C23" s="277"/>
      <c r="D23" s="277"/>
      <c r="E23" s="277"/>
      <c r="F23" s="277"/>
      <c r="G23" s="277"/>
    </row>
    <row r="24" spans="1:11" ht="17.5" thickBot="1" x14ac:dyDescent="0.5">
      <c r="B24" s="8"/>
    </row>
    <row r="25" spans="1:11" s="2" customFormat="1" ht="17.5" thickBot="1" x14ac:dyDescent="0.5">
      <c r="A25"/>
      <c r="B25" s="93" t="s">
        <v>41</v>
      </c>
      <c r="C25" s="94" t="s">
        <v>53</v>
      </c>
      <c r="D25" s="62" t="s">
        <v>52</v>
      </c>
      <c r="E25" s="62" t="s">
        <v>52</v>
      </c>
      <c r="F25" s="62" t="s">
        <v>52</v>
      </c>
      <c r="G25" s="62" t="s">
        <v>52</v>
      </c>
      <c r="H25" s="94" t="s">
        <v>53</v>
      </c>
      <c r="I25" s="94" t="s">
        <v>53</v>
      </c>
      <c r="J25" s="94" t="s">
        <v>53</v>
      </c>
      <c r="K25" s="63" t="s">
        <v>53</v>
      </c>
    </row>
    <row r="26" spans="1:11" s="2" customFormat="1" x14ac:dyDescent="0.45">
      <c r="A26"/>
      <c r="B26" s="95" t="s">
        <v>42</v>
      </c>
      <c r="C26" s="96" t="s">
        <v>126</v>
      </c>
      <c r="D26" s="96" t="s">
        <v>43</v>
      </c>
      <c r="E26" s="96" t="s">
        <v>48</v>
      </c>
      <c r="F26" s="96" t="s">
        <v>51</v>
      </c>
      <c r="G26" s="96" t="s">
        <v>28</v>
      </c>
      <c r="H26" s="96" t="s">
        <v>29</v>
      </c>
      <c r="I26" s="96" t="s">
        <v>120</v>
      </c>
      <c r="J26" s="97" t="s">
        <v>147</v>
      </c>
      <c r="K26" s="98" t="s">
        <v>146</v>
      </c>
    </row>
    <row r="27" spans="1:11" s="2" customFormat="1" ht="17.5" thickBot="1" x14ac:dyDescent="0.5">
      <c r="A27"/>
      <c r="B27" s="99" t="s">
        <v>86</v>
      </c>
      <c r="C27" s="64" t="s">
        <v>127</v>
      </c>
      <c r="D27" s="64" t="s">
        <v>46</v>
      </c>
      <c r="E27" s="64" t="s">
        <v>47</v>
      </c>
      <c r="F27" s="64" t="s">
        <v>50</v>
      </c>
      <c r="G27" s="64" t="s">
        <v>45</v>
      </c>
      <c r="H27" s="64" t="s">
        <v>44</v>
      </c>
      <c r="I27" s="64" t="s">
        <v>121</v>
      </c>
      <c r="J27" s="83" t="s">
        <v>148</v>
      </c>
      <c r="K27" s="84" t="s">
        <v>149</v>
      </c>
    </row>
    <row r="28" spans="1:11" s="2" customFormat="1" ht="17.5" thickBot="1" x14ac:dyDescent="0.5">
      <c r="A28"/>
      <c r="B28" s="100" t="s">
        <v>117</v>
      </c>
      <c r="C28" s="157" t="s">
        <v>124</v>
      </c>
      <c r="D28" s="101" t="s">
        <v>111</v>
      </c>
      <c r="E28" s="102" t="s">
        <v>63</v>
      </c>
      <c r="F28" s="102" t="s">
        <v>63</v>
      </c>
      <c r="G28" s="101" t="s">
        <v>102</v>
      </c>
      <c r="H28" s="101" t="s">
        <v>36</v>
      </c>
      <c r="I28" s="103" t="str">
        <f t="shared" ref="I28" si="0">IF(OR(C28="PIC", C28="DEP", C28 ="EXP"),CONCATENATE(IF(C28="PIC","[담당자권한] ",IF(C28="DEP","[부서권한] ",IF(C28="EXP","[전문가권한] ",""))),G28,", ", D28, IF(H28="ADD"," 권한 추가",""), IF(H28="DEL"," 권한삭제","")),"")</f>
        <v>[부서권한] 정보화팀, 게시판쓰기 권한 추가</v>
      </c>
      <c r="J28" s="104" t="s">
        <v>153</v>
      </c>
      <c r="K28" s="105" t="s">
        <v>140</v>
      </c>
    </row>
    <row r="31" spans="1:11" ht="26" x14ac:dyDescent="0.45">
      <c r="B31" s="276" t="s">
        <v>168</v>
      </c>
      <c r="C31" s="276"/>
      <c r="D31" s="276"/>
      <c r="E31" s="276"/>
      <c r="F31" s="276"/>
    </row>
    <row r="32" spans="1:11" x14ac:dyDescent="0.45">
      <c r="B32" s="277" t="s">
        <v>159</v>
      </c>
      <c r="C32" s="277"/>
      <c r="D32" s="277"/>
      <c r="E32" s="277"/>
      <c r="F32" s="277"/>
      <c r="G32" s="277"/>
    </row>
    <row r="33" spans="2:11" ht="17.5" thickBot="1" x14ac:dyDescent="0.5"/>
    <row r="34" spans="2:11" ht="17.5" thickBot="1" x14ac:dyDescent="0.5">
      <c r="B34" s="93" t="s">
        <v>41</v>
      </c>
      <c r="C34" s="94" t="s">
        <v>53</v>
      </c>
      <c r="D34" s="62" t="s">
        <v>52</v>
      </c>
      <c r="E34" s="62" t="s">
        <v>52</v>
      </c>
      <c r="F34" s="62" t="s">
        <v>52</v>
      </c>
      <c r="G34" s="62" t="s">
        <v>52</v>
      </c>
      <c r="H34" s="94" t="s">
        <v>53</v>
      </c>
      <c r="I34" s="94" t="s">
        <v>53</v>
      </c>
      <c r="J34" s="94" t="s">
        <v>53</v>
      </c>
      <c r="K34" s="63" t="s">
        <v>53</v>
      </c>
    </row>
    <row r="35" spans="2:11" x14ac:dyDescent="0.45">
      <c r="B35" s="95" t="s">
        <v>42</v>
      </c>
      <c r="C35" s="96" t="s">
        <v>126</v>
      </c>
      <c r="D35" s="96" t="s">
        <v>43</v>
      </c>
      <c r="E35" s="96" t="s">
        <v>48</v>
      </c>
      <c r="F35" s="96" t="s">
        <v>51</v>
      </c>
      <c r="G35" s="96" t="s">
        <v>28</v>
      </c>
      <c r="H35" s="96" t="s">
        <v>29</v>
      </c>
      <c r="I35" s="96" t="s">
        <v>120</v>
      </c>
      <c r="J35" s="97" t="s">
        <v>147</v>
      </c>
      <c r="K35" s="98" t="s">
        <v>146</v>
      </c>
    </row>
    <row r="36" spans="2:11" ht="17.5" thickBot="1" x14ac:dyDescent="0.5">
      <c r="B36" s="106" t="s">
        <v>86</v>
      </c>
      <c r="C36" s="78" t="s">
        <v>127</v>
      </c>
      <c r="D36" s="78" t="s">
        <v>46</v>
      </c>
      <c r="E36" s="78" t="s">
        <v>47</v>
      </c>
      <c r="F36" s="78" t="s">
        <v>50</v>
      </c>
      <c r="G36" s="78" t="s">
        <v>45</v>
      </c>
      <c r="H36" s="78" t="s">
        <v>44</v>
      </c>
      <c r="I36" s="78" t="s">
        <v>121</v>
      </c>
      <c r="J36" s="85" t="s">
        <v>148</v>
      </c>
      <c r="K36" s="86" t="s">
        <v>149</v>
      </c>
    </row>
    <row r="37" spans="2:11" x14ac:dyDescent="0.45">
      <c r="B37" s="111" t="s">
        <v>129</v>
      </c>
      <c r="C37" s="112" t="s">
        <v>122</v>
      </c>
      <c r="D37" s="112" t="s">
        <v>111</v>
      </c>
      <c r="E37" s="113" t="s">
        <v>63</v>
      </c>
      <c r="F37" s="113" t="s">
        <v>63</v>
      </c>
      <c r="G37" s="112" t="s">
        <v>161</v>
      </c>
      <c r="H37" s="112" t="s">
        <v>36</v>
      </c>
      <c r="I37" s="114" t="str">
        <f t="shared" ref="I37:I41" si="1">IF(OR(C37="PIC", C37="DEP", C37 ="EXP"),CONCATENATE(IF(C37="PIC","[담당자권한] ",IF(C37="DEP","[부서권한] ",IF(C37="EXP","[전문가권한] ",""))),G37,", ", D37, IF(H37="ADD"," 권한 추가",""), IF(H37="DEL"," 권한삭제","")),"")</f>
        <v>[담당자권한] 김사원, 게시판쓰기 권한 추가</v>
      </c>
      <c r="J37" s="115" t="s">
        <v>153</v>
      </c>
      <c r="K37" s="116" t="s">
        <v>156</v>
      </c>
    </row>
    <row r="38" spans="2:11" x14ac:dyDescent="0.45">
      <c r="B38" s="117" t="s">
        <v>128</v>
      </c>
      <c r="C38" s="118" t="s">
        <v>122</v>
      </c>
      <c r="D38" s="118" t="s">
        <v>111</v>
      </c>
      <c r="E38" s="119" t="s">
        <v>63</v>
      </c>
      <c r="F38" s="119" t="s">
        <v>63</v>
      </c>
      <c r="G38" s="118" t="s">
        <v>162</v>
      </c>
      <c r="H38" s="118" t="s">
        <v>35</v>
      </c>
      <c r="I38" s="120" t="str">
        <f t="shared" si="1"/>
        <v>[담당자권한] 권대리, 게시판쓰기 권한 추가</v>
      </c>
      <c r="J38" s="121" t="s">
        <v>153</v>
      </c>
      <c r="K38" s="122" t="s">
        <v>156</v>
      </c>
    </row>
    <row r="39" spans="2:11" x14ac:dyDescent="0.45">
      <c r="B39" s="117" t="s">
        <v>119</v>
      </c>
      <c r="C39" s="118" t="s">
        <v>122</v>
      </c>
      <c r="D39" s="118" t="s">
        <v>111</v>
      </c>
      <c r="E39" s="119" t="s">
        <v>63</v>
      </c>
      <c r="F39" s="119" t="s">
        <v>63</v>
      </c>
      <c r="G39" s="118" t="s">
        <v>163</v>
      </c>
      <c r="H39" s="118" t="s">
        <v>36</v>
      </c>
      <c r="I39" s="120" t="str">
        <f t="shared" si="1"/>
        <v>[담당자권한] 오부장, 게시판쓰기 권한 추가</v>
      </c>
      <c r="J39" s="121" t="s">
        <v>153</v>
      </c>
      <c r="K39" s="122" t="s">
        <v>156</v>
      </c>
    </row>
    <row r="40" spans="2:11" x14ac:dyDescent="0.45">
      <c r="B40" s="117" t="s">
        <v>167</v>
      </c>
      <c r="C40" s="118" t="s">
        <v>122</v>
      </c>
      <c r="D40" s="118" t="s">
        <v>111</v>
      </c>
      <c r="E40" s="119" t="s">
        <v>63</v>
      </c>
      <c r="F40" s="119" t="s">
        <v>63</v>
      </c>
      <c r="G40" s="118" t="s">
        <v>164</v>
      </c>
      <c r="H40" s="118" t="s">
        <v>36</v>
      </c>
      <c r="I40" s="120" t="str">
        <f t="shared" si="1"/>
        <v>[담당자권한] 안차장, 게시판쓰기 권한 추가</v>
      </c>
      <c r="J40" s="121" t="s">
        <v>153</v>
      </c>
      <c r="K40" s="122" t="s">
        <v>156</v>
      </c>
    </row>
    <row r="41" spans="2:11" ht="17.5" thickBot="1" x14ac:dyDescent="0.5">
      <c r="B41" s="107" t="s">
        <v>117</v>
      </c>
      <c r="C41" s="26" t="s">
        <v>124</v>
      </c>
      <c r="D41" s="26" t="s">
        <v>111</v>
      </c>
      <c r="E41" s="108" t="s">
        <v>63</v>
      </c>
      <c r="F41" s="108" t="s">
        <v>63</v>
      </c>
      <c r="G41" s="26" t="s">
        <v>102</v>
      </c>
      <c r="H41" s="26" t="s">
        <v>36</v>
      </c>
      <c r="I41" s="92" t="str">
        <f t="shared" si="1"/>
        <v>[부서권한] 정보화팀, 게시판쓰기 권한 추가</v>
      </c>
      <c r="J41" s="109" t="s">
        <v>153</v>
      </c>
      <c r="K41" s="110" t="s">
        <v>140</v>
      </c>
    </row>
  </sheetData>
  <mergeCells count="5">
    <mergeCell ref="B2:G2"/>
    <mergeCell ref="B22:F22"/>
    <mergeCell ref="B31:F31"/>
    <mergeCell ref="B23:G23"/>
    <mergeCell ref="B32:G3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8"/>
  <sheetViews>
    <sheetView tabSelected="1" topLeftCell="A34" zoomScale="85" zoomScaleNormal="85" workbookViewId="0">
      <selection activeCell="M52" sqref="M52"/>
    </sheetView>
  </sheetViews>
  <sheetFormatPr defaultRowHeight="17" x14ac:dyDescent="0.45"/>
  <cols>
    <col min="1" max="1" width="3.58203125" customWidth="1"/>
    <col min="2" max="2" width="23.1640625" bestFit="1" customWidth="1"/>
    <col min="3" max="3" width="22.25" bestFit="1" customWidth="1"/>
    <col min="4" max="4" width="22.08203125" bestFit="1" customWidth="1"/>
    <col min="5" max="5" width="21.58203125" bestFit="1" customWidth="1"/>
    <col min="6" max="6" width="25.1640625" bestFit="1" customWidth="1"/>
    <col min="7" max="7" width="29.5" bestFit="1" customWidth="1"/>
    <col min="8" max="8" width="14.9140625" bestFit="1" customWidth="1"/>
    <col min="9" max="9" width="45.75" bestFit="1" customWidth="1"/>
    <col min="10" max="10" width="17.5" bestFit="1" customWidth="1"/>
    <col min="11" max="11" width="27.5" bestFit="1" customWidth="1"/>
    <col min="12" max="12" width="5.75" bestFit="1" customWidth="1"/>
    <col min="13" max="13" width="28.33203125" bestFit="1" customWidth="1"/>
    <col min="14" max="14" width="23.08203125" customWidth="1"/>
    <col min="15" max="15" width="39.33203125" bestFit="1" customWidth="1"/>
  </cols>
  <sheetData>
    <row r="2" spans="2:15" ht="30" x14ac:dyDescent="0.45">
      <c r="B2" s="275" t="s">
        <v>288</v>
      </c>
      <c r="C2" s="275"/>
      <c r="D2" s="275"/>
      <c r="E2" s="275"/>
      <c r="F2" s="275"/>
      <c r="G2" s="275"/>
    </row>
    <row r="3" spans="2:15" ht="17.5" thickBot="1" x14ac:dyDescent="0.5"/>
    <row r="4" spans="2:15" ht="26" thickBot="1" x14ac:dyDescent="0.5">
      <c r="B4" s="7" t="s">
        <v>30</v>
      </c>
      <c r="C4" s="7" t="s">
        <v>3</v>
      </c>
      <c r="D4" s="7" t="s">
        <v>40</v>
      </c>
      <c r="F4" s="65" t="s">
        <v>30</v>
      </c>
      <c r="G4" s="67" t="s">
        <v>3</v>
      </c>
      <c r="I4" s="70" t="s">
        <v>303</v>
      </c>
      <c r="J4" s="71" t="s">
        <v>304</v>
      </c>
      <c r="L4" s="7" t="s">
        <v>25</v>
      </c>
      <c r="M4" s="7" t="s">
        <v>2</v>
      </c>
      <c r="N4" s="7" t="s">
        <v>7</v>
      </c>
      <c r="O4" s="7" t="s">
        <v>3</v>
      </c>
    </row>
    <row r="5" spans="2:15" x14ac:dyDescent="0.45">
      <c r="B5" s="16" t="s">
        <v>36</v>
      </c>
      <c r="C5" s="16" t="s">
        <v>31</v>
      </c>
      <c r="D5" s="16" t="s">
        <v>133</v>
      </c>
      <c r="F5" s="28" t="s">
        <v>124</v>
      </c>
      <c r="G5" s="53" t="s">
        <v>56</v>
      </c>
      <c r="I5" s="50" t="s">
        <v>306</v>
      </c>
      <c r="J5" s="211" t="s">
        <v>296</v>
      </c>
      <c r="L5" s="191">
        <v>1</v>
      </c>
      <c r="M5" s="190" t="s">
        <v>1</v>
      </c>
      <c r="N5" s="190" t="s">
        <v>1</v>
      </c>
      <c r="O5" s="190" t="s">
        <v>4</v>
      </c>
    </row>
    <row r="6" spans="2:15" x14ac:dyDescent="0.45">
      <c r="B6" s="16" t="s">
        <v>37</v>
      </c>
      <c r="C6" s="16" t="s">
        <v>32</v>
      </c>
      <c r="D6" s="16" t="s">
        <v>134</v>
      </c>
      <c r="F6" s="19" t="s">
        <v>122</v>
      </c>
      <c r="G6" s="45" t="s">
        <v>57</v>
      </c>
      <c r="I6" s="19" t="s">
        <v>308</v>
      </c>
      <c r="J6" s="182" t="s">
        <v>296</v>
      </c>
      <c r="L6" s="191">
        <v>2</v>
      </c>
      <c r="M6" s="190" t="s">
        <v>5</v>
      </c>
      <c r="N6" s="190" t="s">
        <v>5</v>
      </c>
      <c r="O6" s="190" t="s">
        <v>6</v>
      </c>
    </row>
    <row r="7" spans="2:15" x14ac:dyDescent="0.45">
      <c r="B7" s="191" t="s">
        <v>38</v>
      </c>
      <c r="C7" s="191" t="s">
        <v>33</v>
      </c>
      <c r="D7" s="81" t="s">
        <v>135</v>
      </c>
      <c r="F7" s="19" t="s">
        <v>123</v>
      </c>
      <c r="G7" s="45" t="s">
        <v>58</v>
      </c>
      <c r="I7" s="19" t="s">
        <v>310</v>
      </c>
      <c r="J7" s="182" t="s">
        <v>296</v>
      </c>
      <c r="L7" s="278">
        <v>3</v>
      </c>
      <c r="M7" s="209" t="s">
        <v>9</v>
      </c>
      <c r="N7" s="279" t="s">
        <v>8</v>
      </c>
      <c r="O7" s="209" t="s">
        <v>15</v>
      </c>
    </row>
    <row r="8" spans="2:15" ht="17.5" thickBot="1" x14ac:dyDescent="0.5">
      <c r="B8" s="191" t="s">
        <v>39</v>
      </c>
      <c r="C8" s="191" t="s">
        <v>34</v>
      </c>
      <c r="D8" s="82" t="s">
        <v>135</v>
      </c>
      <c r="F8" s="19" t="s">
        <v>294</v>
      </c>
      <c r="G8" s="45" t="s">
        <v>295</v>
      </c>
      <c r="I8" s="20" t="s">
        <v>312</v>
      </c>
      <c r="J8" s="212" t="s">
        <v>296</v>
      </c>
      <c r="L8" s="278"/>
      <c r="M8" s="209" t="s">
        <v>10</v>
      </c>
      <c r="N8" s="279"/>
      <c r="O8" s="209" t="s">
        <v>16</v>
      </c>
    </row>
    <row r="9" spans="2:15" x14ac:dyDescent="0.45">
      <c r="B9" s="13"/>
      <c r="C9" s="13"/>
      <c r="D9" s="210"/>
      <c r="F9" s="19" t="s">
        <v>60</v>
      </c>
      <c r="G9" s="45" t="s">
        <v>54</v>
      </c>
      <c r="I9" s="13"/>
      <c r="J9" s="9"/>
      <c r="L9" s="278"/>
      <c r="M9" s="209" t="s">
        <v>17</v>
      </c>
      <c r="N9" s="279"/>
      <c r="O9" s="209" t="s">
        <v>18</v>
      </c>
    </row>
    <row r="10" spans="2:15" ht="17.5" thickBot="1" x14ac:dyDescent="0.5">
      <c r="F10" s="19" t="s">
        <v>125</v>
      </c>
      <c r="G10" s="45" t="s">
        <v>13</v>
      </c>
      <c r="L10" s="278"/>
      <c r="M10" s="209" t="s">
        <v>11</v>
      </c>
      <c r="N10" s="279"/>
      <c r="O10" s="209" t="s">
        <v>19</v>
      </c>
    </row>
    <row r="11" spans="2:15" ht="17.5" thickBot="1" x14ac:dyDescent="0.5">
      <c r="F11" s="20" t="s">
        <v>61</v>
      </c>
      <c r="G11" s="47" t="s">
        <v>55</v>
      </c>
      <c r="I11" s="48" t="s">
        <v>89</v>
      </c>
      <c r="J11" s="49" t="s">
        <v>94</v>
      </c>
      <c r="L11" s="191">
        <v>4</v>
      </c>
      <c r="M11" s="190" t="s">
        <v>13</v>
      </c>
      <c r="N11" s="190" t="s">
        <v>12</v>
      </c>
      <c r="O11" s="190" t="s">
        <v>20</v>
      </c>
    </row>
    <row r="12" spans="2:15" ht="17.5" thickBot="1" x14ac:dyDescent="0.5">
      <c r="I12" s="188" t="s">
        <v>88</v>
      </c>
      <c r="J12" s="183" t="s">
        <v>63</v>
      </c>
      <c r="L12" s="191">
        <v>5</v>
      </c>
      <c r="M12" s="190" t="s">
        <v>14</v>
      </c>
      <c r="N12" s="190" t="s">
        <v>23</v>
      </c>
      <c r="O12" s="190" t="s">
        <v>21</v>
      </c>
    </row>
    <row r="13" spans="2:15" ht="17.5" thickBot="1" x14ac:dyDescent="0.5">
      <c r="B13" s="42" t="s">
        <v>103</v>
      </c>
      <c r="C13" s="43" t="s">
        <v>95</v>
      </c>
      <c r="I13" s="185" t="s">
        <v>90</v>
      </c>
      <c r="J13" s="187" t="s">
        <v>88</v>
      </c>
      <c r="L13" s="191">
        <v>6</v>
      </c>
      <c r="M13" s="190" t="s">
        <v>67</v>
      </c>
      <c r="N13" s="190" t="s">
        <v>22</v>
      </c>
      <c r="O13" s="190" t="s">
        <v>24</v>
      </c>
    </row>
    <row r="14" spans="2:15" ht="17.5" thickBot="1" x14ac:dyDescent="0.5">
      <c r="B14" s="50" t="s">
        <v>161</v>
      </c>
      <c r="C14" s="60" t="s">
        <v>90</v>
      </c>
      <c r="E14" s="30" t="s">
        <v>95</v>
      </c>
      <c r="F14" s="31" t="s">
        <v>96</v>
      </c>
      <c r="G14" s="22" t="s">
        <v>68</v>
      </c>
      <c r="I14" s="186" t="s">
        <v>195</v>
      </c>
      <c r="J14" s="187" t="s">
        <v>88</v>
      </c>
      <c r="L14" s="191">
        <v>99</v>
      </c>
      <c r="M14" s="190" t="s">
        <v>64</v>
      </c>
      <c r="N14" s="14" t="s">
        <v>63</v>
      </c>
      <c r="O14" s="190" t="s">
        <v>65</v>
      </c>
    </row>
    <row r="15" spans="2:15" x14ac:dyDescent="0.45">
      <c r="B15" s="19" t="s">
        <v>162</v>
      </c>
      <c r="C15" s="178" t="s">
        <v>195</v>
      </c>
      <c r="E15" s="130" t="s">
        <v>90</v>
      </c>
      <c r="F15" s="127" t="s">
        <v>97</v>
      </c>
      <c r="G15" s="131" t="s">
        <v>66</v>
      </c>
      <c r="H15" s="15"/>
      <c r="I15" s="185" t="s">
        <v>194</v>
      </c>
      <c r="J15" s="187" t="s">
        <v>88</v>
      </c>
    </row>
    <row r="16" spans="2:15" x14ac:dyDescent="0.45">
      <c r="B16" s="19" t="s">
        <v>163</v>
      </c>
      <c r="C16" s="178" t="s">
        <v>194</v>
      </c>
      <c r="E16" s="180" t="s">
        <v>195</v>
      </c>
      <c r="F16" s="24" t="s">
        <v>108</v>
      </c>
      <c r="G16" s="25" t="s">
        <v>0</v>
      </c>
      <c r="H16" s="15"/>
      <c r="I16" s="185" t="s">
        <v>201</v>
      </c>
      <c r="J16" s="187" t="s">
        <v>88</v>
      </c>
    </row>
    <row r="17" spans="1:13" ht="34.5" thickBot="1" x14ac:dyDescent="0.5">
      <c r="A17" s="15"/>
      <c r="B17" s="20" t="s">
        <v>164</v>
      </c>
      <c r="C17" s="179" t="s">
        <v>201</v>
      </c>
      <c r="E17" s="181" t="s">
        <v>194</v>
      </c>
      <c r="F17" s="167" t="s">
        <v>178</v>
      </c>
      <c r="G17" s="25" t="s">
        <v>99</v>
      </c>
      <c r="H17" s="15"/>
      <c r="I17" s="17" t="s">
        <v>109</v>
      </c>
      <c r="J17" s="182" t="s">
        <v>63</v>
      </c>
    </row>
    <row r="18" spans="1:13" ht="17.5" thickBot="1" x14ac:dyDescent="0.5">
      <c r="A18" s="15"/>
      <c r="E18" s="91" t="s">
        <v>174</v>
      </c>
      <c r="F18" s="92" t="s">
        <v>173</v>
      </c>
      <c r="G18" s="27" t="s">
        <v>175</v>
      </c>
      <c r="I18" s="17" t="s">
        <v>110</v>
      </c>
      <c r="J18" s="45" t="s">
        <v>109</v>
      </c>
    </row>
    <row r="19" spans="1:13" ht="17.5" thickBot="1" x14ac:dyDescent="0.5">
      <c r="I19" s="17" t="s">
        <v>111</v>
      </c>
      <c r="J19" s="45" t="s">
        <v>109</v>
      </c>
    </row>
    <row r="20" spans="1:13" ht="17.5" thickBot="1" x14ac:dyDescent="0.5">
      <c r="E20" s="37" t="s">
        <v>100</v>
      </c>
      <c r="F20" s="38" t="s">
        <v>95</v>
      </c>
      <c r="I20" s="17" t="s">
        <v>174</v>
      </c>
      <c r="J20" s="45" t="s">
        <v>109</v>
      </c>
    </row>
    <row r="21" spans="1:13" ht="17.5" thickBot="1" x14ac:dyDescent="0.5">
      <c r="E21" s="35" t="s">
        <v>102</v>
      </c>
      <c r="F21" s="36" t="s">
        <v>88</v>
      </c>
      <c r="I21" s="46" t="s">
        <v>113</v>
      </c>
      <c r="J21" s="47" t="s">
        <v>109</v>
      </c>
    </row>
    <row r="23" spans="1:13" ht="30" x14ac:dyDescent="0.45">
      <c r="B23" s="275" t="s">
        <v>289</v>
      </c>
      <c r="C23" s="275"/>
      <c r="D23" s="275"/>
      <c r="E23" s="275"/>
      <c r="F23" s="275"/>
      <c r="G23" s="275"/>
    </row>
    <row r="24" spans="1:13" ht="26.5" thickBot="1" x14ac:dyDescent="0.5">
      <c r="B24" s="276" t="s">
        <v>290</v>
      </c>
      <c r="C24" s="276"/>
      <c r="D24" s="276"/>
      <c r="E24" s="276"/>
      <c r="F24" s="276"/>
    </row>
    <row r="25" spans="1:13" ht="17.5" thickBot="1" x14ac:dyDescent="0.5">
      <c r="B25" s="132" t="s">
        <v>41</v>
      </c>
      <c r="C25" s="94" t="s">
        <v>53</v>
      </c>
      <c r="D25" s="62" t="s">
        <v>52</v>
      </c>
      <c r="E25" s="62" t="s">
        <v>52</v>
      </c>
      <c r="F25" s="62" t="s">
        <v>52</v>
      </c>
      <c r="G25" s="62" t="s">
        <v>52</v>
      </c>
      <c r="H25" s="94" t="s">
        <v>53</v>
      </c>
      <c r="I25" s="94" t="s">
        <v>53</v>
      </c>
      <c r="J25" s="94" t="s">
        <v>53</v>
      </c>
      <c r="K25" s="63" t="s">
        <v>53</v>
      </c>
    </row>
    <row r="26" spans="1:13" x14ac:dyDescent="0.45">
      <c r="B26" s="95" t="s">
        <v>42</v>
      </c>
      <c r="C26" s="96" t="s">
        <v>126</v>
      </c>
      <c r="D26" s="96" t="s">
        <v>43</v>
      </c>
      <c r="E26" s="96" t="s">
        <v>48</v>
      </c>
      <c r="F26" s="96" t="s">
        <v>51</v>
      </c>
      <c r="G26" s="96" t="s">
        <v>28</v>
      </c>
      <c r="H26" s="96" t="s">
        <v>29</v>
      </c>
      <c r="I26" s="96" t="s">
        <v>120</v>
      </c>
      <c r="J26" s="97" t="s">
        <v>147</v>
      </c>
      <c r="K26" s="98" t="s">
        <v>146</v>
      </c>
    </row>
    <row r="27" spans="1:13" ht="17.5" thickBot="1" x14ac:dyDescent="0.5">
      <c r="B27" s="106" t="s">
        <v>86</v>
      </c>
      <c r="C27" s="78" t="s">
        <v>127</v>
      </c>
      <c r="D27" s="78" t="s">
        <v>46</v>
      </c>
      <c r="E27" s="78" t="s">
        <v>47</v>
      </c>
      <c r="F27" s="78" t="s">
        <v>50</v>
      </c>
      <c r="G27" s="78" t="s">
        <v>45</v>
      </c>
      <c r="H27" s="78" t="s">
        <v>44</v>
      </c>
      <c r="I27" s="78" t="s">
        <v>121</v>
      </c>
      <c r="J27" s="85" t="s">
        <v>148</v>
      </c>
      <c r="K27" s="86" t="s">
        <v>149</v>
      </c>
    </row>
    <row r="28" spans="1:13" x14ac:dyDescent="0.45">
      <c r="B28" s="233" t="s">
        <v>196</v>
      </c>
      <c r="C28" s="215" t="s">
        <v>294</v>
      </c>
      <c r="D28" s="215" t="s">
        <v>298</v>
      </c>
      <c r="E28" s="234" t="s">
        <v>328</v>
      </c>
      <c r="F28" s="234"/>
      <c r="G28" s="234" t="s">
        <v>296</v>
      </c>
      <c r="H28" s="215" t="s">
        <v>291</v>
      </c>
      <c r="I28" s="235" t="str">
        <f>IF(OR(C28="COM", C28 ="EXP"),CONCATENATE(IF(C28="COM","[기업권한] ",IF(C28="EXP","[전문가권한] ","")),G28,", ", D28, IF(H28="ADD"," 권한 추가",""), IF(H28="DEL"," 권한삭제","")),"")</f>
        <v>[기업권한] OO제약, OO제약 기본권한 권한 추가</v>
      </c>
      <c r="J28" s="218" t="s">
        <v>300</v>
      </c>
      <c r="K28" s="219" t="s">
        <v>301</v>
      </c>
    </row>
    <row r="29" spans="1:13" ht="17.5" thickBot="1" x14ac:dyDescent="0.5">
      <c r="B29" s="242" t="s">
        <v>197</v>
      </c>
      <c r="C29" s="237" t="s">
        <v>294</v>
      </c>
      <c r="D29" s="237" t="s">
        <v>298</v>
      </c>
      <c r="E29" s="238" t="s">
        <v>328</v>
      </c>
      <c r="F29" s="238"/>
      <c r="G29" s="238" t="s">
        <v>296</v>
      </c>
      <c r="H29" s="237" t="s">
        <v>299</v>
      </c>
      <c r="I29" s="243" t="str">
        <f>IF(OR(C29="COM", C29 ="EXP"),CONCATENATE(IF(C29="COM","[기업권한] ",IF(C29="EXP","[전문가권한] ","")),G29,", ", D29, IF(H29="ADD"," 권한 추가",""), IF(H29="DEL"," 권한 삭제","")),"")</f>
        <v>[기업권한] OO제약, OO제약 기본권한 권한 삭제</v>
      </c>
      <c r="J29" s="240" t="s">
        <v>300</v>
      </c>
      <c r="K29" s="241" t="s">
        <v>302</v>
      </c>
    </row>
    <row r="30" spans="1:13" x14ac:dyDescent="0.45">
      <c r="B30" s="168"/>
      <c r="C30" s="9"/>
      <c r="D30" s="9"/>
      <c r="E30" s="169"/>
      <c r="F30" s="169"/>
      <c r="G30" s="169"/>
      <c r="H30" s="9"/>
      <c r="I30" s="9"/>
      <c r="J30" s="168"/>
      <c r="K30" s="168"/>
      <c r="L30" s="2"/>
      <c r="M30" s="2"/>
    </row>
    <row r="31" spans="1:13" ht="26.5" thickBot="1" x14ac:dyDescent="0.5">
      <c r="B31" s="276" t="s">
        <v>314</v>
      </c>
      <c r="C31" s="276"/>
      <c r="D31" s="276"/>
      <c r="E31" s="276"/>
      <c r="F31" s="276"/>
    </row>
    <row r="32" spans="1:13" ht="17.5" thickBot="1" x14ac:dyDescent="0.5">
      <c r="B32" s="132" t="s">
        <v>41</v>
      </c>
      <c r="C32" s="94" t="s">
        <v>53</v>
      </c>
      <c r="D32" s="62" t="s">
        <v>52</v>
      </c>
      <c r="E32" s="62" t="s">
        <v>52</v>
      </c>
      <c r="F32" s="62" t="s">
        <v>52</v>
      </c>
      <c r="G32" s="62" t="s">
        <v>52</v>
      </c>
      <c r="H32" s="94" t="s">
        <v>53</v>
      </c>
      <c r="I32" s="94" t="s">
        <v>53</v>
      </c>
      <c r="J32" s="94" t="s">
        <v>53</v>
      </c>
      <c r="K32" s="63" t="s">
        <v>53</v>
      </c>
    </row>
    <row r="33" spans="2:11" x14ac:dyDescent="0.45">
      <c r="B33" s="95" t="s">
        <v>42</v>
      </c>
      <c r="C33" s="96" t="s">
        <v>126</v>
      </c>
      <c r="D33" s="96" t="s">
        <v>43</v>
      </c>
      <c r="E33" s="96" t="s">
        <v>48</v>
      </c>
      <c r="F33" s="96" t="s">
        <v>51</v>
      </c>
      <c r="G33" s="96" t="s">
        <v>28</v>
      </c>
      <c r="H33" s="96" t="s">
        <v>29</v>
      </c>
      <c r="I33" s="96" t="s">
        <v>120</v>
      </c>
      <c r="J33" s="97" t="s">
        <v>147</v>
      </c>
      <c r="K33" s="98" t="s">
        <v>146</v>
      </c>
    </row>
    <row r="34" spans="2:11" ht="17.5" thickBot="1" x14ac:dyDescent="0.5">
      <c r="B34" s="106" t="s">
        <v>86</v>
      </c>
      <c r="C34" s="78" t="s">
        <v>127</v>
      </c>
      <c r="D34" s="78" t="s">
        <v>46</v>
      </c>
      <c r="E34" s="78" t="s">
        <v>47</v>
      </c>
      <c r="F34" s="78" t="s">
        <v>50</v>
      </c>
      <c r="G34" s="78" t="s">
        <v>45</v>
      </c>
      <c r="H34" s="78" t="s">
        <v>44</v>
      </c>
      <c r="I34" s="78" t="s">
        <v>121</v>
      </c>
      <c r="J34" s="85" t="s">
        <v>148</v>
      </c>
      <c r="K34" s="86" t="s">
        <v>149</v>
      </c>
    </row>
    <row r="35" spans="2:11" x14ac:dyDescent="0.45">
      <c r="B35" s="213" t="s">
        <v>129</v>
      </c>
      <c r="C35" s="214" t="s">
        <v>293</v>
      </c>
      <c r="D35" s="215" t="s">
        <v>298</v>
      </c>
      <c r="E35" s="216" t="s">
        <v>329</v>
      </c>
      <c r="F35" s="216"/>
      <c r="G35" s="215" t="s">
        <v>305</v>
      </c>
      <c r="H35" s="214" t="s">
        <v>291</v>
      </c>
      <c r="I35" s="217" t="str">
        <f>IF(OR(C35="COM", C35 ="EXP"),CONCATENATE(IF(C35="COM","[기업권한] ",IF(C35="EXP","[전문가권한] ","")),G35,", ", D35, IF(H35="ADD"," 권한 추가",""), IF(H35="DEL"," 권한 삭제","")),"")</f>
        <v>[전문가권한] 김에이, OO제약 기본권한 권한 추가</v>
      </c>
      <c r="J35" s="218" t="s">
        <v>300</v>
      </c>
      <c r="K35" s="219" t="s">
        <v>313</v>
      </c>
    </row>
    <row r="36" spans="2:11" x14ac:dyDescent="0.45">
      <c r="B36" s="220" t="s">
        <v>208</v>
      </c>
      <c r="C36" s="221" t="s">
        <v>292</v>
      </c>
      <c r="D36" s="32" t="s">
        <v>297</v>
      </c>
      <c r="E36" s="222" t="s">
        <v>329</v>
      </c>
      <c r="F36" s="222"/>
      <c r="G36" s="32" t="s">
        <v>307</v>
      </c>
      <c r="H36" s="221" t="s">
        <v>291</v>
      </c>
      <c r="I36" s="223" t="str">
        <f t="shared" ref="I36:I38" si="0">IF(OR(C36="COM", C36 ="EXP"),CONCATENATE(IF(C36="COM","[기업권한] ",IF(C36="EXP","[전문가권한] ","")),G36,", ", D36, IF(H36="ADD"," 권한 추가",""), IF(H36="DEL"," 권한 삭제","")),"")</f>
        <v>[전문가권한] 이비비, OO제약 기본권한 권한 추가</v>
      </c>
      <c r="J36" s="224" t="s">
        <v>300</v>
      </c>
      <c r="K36" s="225" t="s">
        <v>313</v>
      </c>
    </row>
    <row r="37" spans="2:11" x14ac:dyDescent="0.45">
      <c r="B37" s="220" t="s">
        <v>209</v>
      </c>
      <c r="C37" s="221" t="s">
        <v>292</v>
      </c>
      <c r="D37" s="221" t="s">
        <v>297</v>
      </c>
      <c r="E37" s="222" t="s">
        <v>329</v>
      </c>
      <c r="F37" s="222"/>
      <c r="G37" s="32" t="s">
        <v>309</v>
      </c>
      <c r="H37" s="221" t="s">
        <v>291</v>
      </c>
      <c r="I37" s="223" t="str">
        <f t="shared" si="0"/>
        <v>[전문가권한] 권씨씨, OO제약 기본권한 권한 추가</v>
      </c>
      <c r="J37" s="224" t="s">
        <v>300</v>
      </c>
      <c r="K37" s="225" t="s">
        <v>313</v>
      </c>
    </row>
    <row r="38" spans="2:11" x14ac:dyDescent="0.45">
      <c r="B38" s="220" t="s">
        <v>118</v>
      </c>
      <c r="C38" s="221" t="s">
        <v>292</v>
      </c>
      <c r="D38" s="32" t="s">
        <v>297</v>
      </c>
      <c r="E38" s="222" t="s">
        <v>329</v>
      </c>
      <c r="F38" s="222"/>
      <c r="G38" s="32" t="s">
        <v>311</v>
      </c>
      <c r="H38" s="221" t="s">
        <v>291</v>
      </c>
      <c r="I38" s="223" t="str">
        <f t="shared" si="0"/>
        <v>[전문가권한] 남디디, OO제약 기본권한 권한 추가</v>
      </c>
      <c r="J38" s="224" t="s">
        <v>300</v>
      </c>
      <c r="K38" s="225" t="s">
        <v>313</v>
      </c>
    </row>
    <row r="39" spans="2:11" x14ac:dyDescent="0.45">
      <c r="B39" s="220" t="s">
        <v>117</v>
      </c>
      <c r="C39" s="32" t="s">
        <v>294</v>
      </c>
      <c r="D39" s="32" t="s">
        <v>298</v>
      </c>
      <c r="E39" s="226" t="s">
        <v>328</v>
      </c>
      <c r="F39" s="226"/>
      <c r="G39" s="226" t="s">
        <v>296</v>
      </c>
      <c r="H39" s="32" t="s">
        <v>291</v>
      </c>
      <c r="I39" s="223" t="str">
        <f>IF(OR(C39="COM", C39 ="EXP"),CONCATENATE(IF(C39="COM","[기업권한] ",IF(C39="EXP","[전문가권한] ","")),G39,", ", D39, IF(H39="ADD"," 권한 추가",""), IF(H39="DEL"," 권한삭제","")),"")</f>
        <v>[기업권한] OO제약, OO제약 기본권한 권한 추가</v>
      </c>
      <c r="J39" s="224" t="s">
        <v>300</v>
      </c>
      <c r="K39" s="225" t="s">
        <v>301</v>
      </c>
    </row>
    <row r="40" spans="2:11" x14ac:dyDescent="0.45">
      <c r="B40" s="228" t="s">
        <v>210</v>
      </c>
      <c r="C40" s="174" t="s">
        <v>292</v>
      </c>
      <c r="D40" s="177" t="s">
        <v>297</v>
      </c>
      <c r="E40" s="229" t="s">
        <v>329</v>
      </c>
      <c r="F40" s="229"/>
      <c r="G40" s="177" t="s">
        <v>305</v>
      </c>
      <c r="H40" s="177" t="s">
        <v>299</v>
      </c>
      <c r="I40" s="230" t="str">
        <f>IF(OR(C40="COM", C40 ="EXP"),CONCATENATE(IF(C40="COM","[기업권한] ",IF(C40="EXP","[전문가권한] ","")),G40,", ", D40, IF(H40="ADD"," 권한 추가",""), IF(H40="DEL"," 권한 삭제","")),"")</f>
        <v>[전문가권한] 김에이, OO제약 기본권한 권한 삭제</v>
      </c>
      <c r="J40" s="231" t="s">
        <v>300</v>
      </c>
      <c r="K40" s="232" t="s">
        <v>315</v>
      </c>
    </row>
    <row r="41" spans="2:11" x14ac:dyDescent="0.45">
      <c r="B41" s="228" t="s">
        <v>211</v>
      </c>
      <c r="C41" s="174" t="s">
        <v>292</v>
      </c>
      <c r="D41" s="177" t="s">
        <v>297</v>
      </c>
      <c r="E41" s="229" t="s">
        <v>329</v>
      </c>
      <c r="F41" s="229"/>
      <c r="G41" s="177" t="s">
        <v>307</v>
      </c>
      <c r="H41" s="177" t="s">
        <v>299</v>
      </c>
      <c r="I41" s="230" t="str">
        <f>IF(OR(C41="COM", C41 ="EXP"),CONCATENATE(IF(C41="COM","[기업권한] ",IF(C41="EXP","[전문가권한] ","")),G41,", ", D41, IF(H41="ADD"," 권한 추가",""), IF(H41="DEL"," 권한 삭제","")),"")</f>
        <v>[전문가권한] 이비비, OO제약 기본권한 권한 삭제</v>
      </c>
      <c r="J41" s="231" t="s">
        <v>300</v>
      </c>
      <c r="K41" s="232" t="s">
        <v>315</v>
      </c>
    </row>
    <row r="42" spans="2:11" x14ac:dyDescent="0.45">
      <c r="B42" s="228" t="s">
        <v>212</v>
      </c>
      <c r="C42" s="174" t="s">
        <v>292</v>
      </c>
      <c r="D42" s="177" t="s">
        <v>297</v>
      </c>
      <c r="E42" s="229" t="s">
        <v>329</v>
      </c>
      <c r="F42" s="229"/>
      <c r="G42" s="177" t="s">
        <v>309</v>
      </c>
      <c r="H42" s="177" t="s">
        <v>299</v>
      </c>
      <c r="I42" s="230" t="str">
        <f>IF(OR(C42="COM", C42 ="EXP"),CONCATENATE(IF(C42="COM","[기업권한] ",IF(C42="EXP","[전문가권한] ","")),G42,", ", D42, IF(H42="ADD"," 권한 추가",""), IF(H42="DEL"," 권한 삭제","")),"")</f>
        <v>[전문가권한] 권씨씨, OO제약 기본권한 권한 삭제</v>
      </c>
      <c r="J42" s="231" t="s">
        <v>300</v>
      </c>
      <c r="K42" s="232" t="s">
        <v>315</v>
      </c>
    </row>
    <row r="43" spans="2:11" x14ac:dyDescent="0.45">
      <c r="B43" s="228" t="s">
        <v>213</v>
      </c>
      <c r="C43" s="174" t="s">
        <v>292</v>
      </c>
      <c r="D43" s="177" t="s">
        <v>297</v>
      </c>
      <c r="E43" s="229" t="s">
        <v>329</v>
      </c>
      <c r="F43" s="229"/>
      <c r="G43" s="177" t="s">
        <v>311</v>
      </c>
      <c r="H43" s="177" t="s">
        <v>299</v>
      </c>
      <c r="I43" s="230" t="str">
        <f>IF(OR(C43="COM", C43 ="EXP"),CONCATENATE(IF(C43="COM","[기업권한] ",IF(C43="EXP","[전문가권한] ","")),G43,", ", D43, IF(H43="ADD"," 권한 추가",""), IF(H43="DEL"," 권한 삭제","")),"")</f>
        <v>[전문가권한] 남디디, OO제약 기본권한 권한 삭제</v>
      </c>
      <c r="J43" s="231" t="s">
        <v>300</v>
      </c>
      <c r="K43" s="232" t="s">
        <v>315</v>
      </c>
    </row>
    <row r="44" spans="2:11" ht="17.5" thickBot="1" x14ac:dyDescent="0.5">
      <c r="B44" s="236" t="s">
        <v>214</v>
      </c>
      <c r="C44" s="237" t="s">
        <v>294</v>
      </c>
      <c r="D44" s="237" t="s">
        <v>298</v>
      </c>
      <c r="E44" s="238" t="s">
        <v>328</v>
      </c>
      <c r="F44" s="238"/>
      <c r="G44" s="238" t="s">
        <v>296</v>
      </c>
      <c r="H44" s="237" t="s">
        <v>299</v>
      </c>
      <c r="I44" s="239" t="str">
        <f>IF(OR(C44="COM", C44 ="EXP"),CONCATENATE(IF(C44="COM","[기업권한] ",IF(C44="EXP","[전문가권한] ","")),G44,", ", D44, IF(H44="ADD"," 권한 추가",""), IF(H44="DEL"," 권한 삭제","")),"")</f>
        <v>[기업권한] OO제약, OO제약 기본권한 권한 삭제</v>
      </c>
      <c r="J44" s="240" t="s">
        <v>300</v>
      </c>
      <c r="K44" s="241" t="s">
        <v>302</v>
      </c>
    </row>
    <row r="46" spans="2:11" ht="30.5" thickBot="1" x14ac:dyDescent="0.5">
      <c r="B46" s="275" t="s">
        <v>322</v>
      </c>
      <c r="C46" s="275"/>
      <c r="D46" s="275"/>
      <c r="E46" s="275"/>
      <c r="F46" s="275"/>
      <c r="G46" s="275"/>
    </row>
    <row r="47" spans="2:11" ht="17.5" thickBot="1" x14ac:dyDescent="0.5">
      <c r="B47" s="132" t="s">
        <v>41</v>
      </c>
      <c r="C47" s="94" t="s">
        <v>53</v>
      </c>
      <c r="D47" s="62" t="s">
        <v>52</v>
      </c>
      <c r="E47" s="62" t="s">
        <v>52</v>
      </c>
      <c r="F47" s="62" t="s">
        <v>52</v>
      </c>
      <c r="G47" s="62" t="s">
        <v>52</v>
      </c>
      <c r="H47" s="94" t="s">
        <v>53</v>
      </c>
      <c r="I47" s="94" t="s">
        <v>53</v>
      </c>
      <c r="J47" s="94" t="s">
        <v>53</v>
      </c>
      <c r="K47" s="63" t="s">
        <v>53</v>
      </c>
    </row>
    <row r="48" spans="2:11" x14ac:dyDescent="0.45">
      <c r="B48" s="95" t="s">
        <v>42</v>
      </c>
      <c r="C48" s="96" t="s">
        <v>126</v>
      </c>
      <c r="D48" s="96" t="s">
        <v>43</v>
      </c>
      <c r="E48" s="96" t="s">
        <v>48</v>
      </c>
      <c r="F48" s="96" t="s">
        <v>51</v>
      </c>
      <c r="G48" s="96" t="s">
        <v>28</v>
      </c>
      <c r="H48" s="96" t="s">
        <v>29</v>
      </c>
      <c r="I48" s="96" t="s">
        <v>120</v>
      </c>
      <c r="J48" s="97" t="s">
        <v>147</v>
      </c>
      <c r="K48" s="98" t="s">
        <v>146</v>
      </c>
    </row>
    <row r="49" spans="2:15" ht="17.5" thickBot="1" x14ac:dyDescent="0.5">
      <c r="B49" s="106" t="s">
        <v>86</v>
      </c>
      <c r="C49" s="78" t="s">
        <v>127</v>
      </c>
      <c r="D49" s="78" t="s">
        <v>46</v>
      </c>
      <c r="E49" s="78" t="s">
        <v>47</v>
      </c>
      <c r="F49" s="78" t="s">
        <v>50</v>
      </c>
      <c r="G49" s="78" t="s">
        <v>45</v>
      </c>
      <c r="H49" s="78" t="s">
        <v>44</v>
      </c>
      <c r="I49" s="78" t="s">
        <v>121</v>
      </c>
      <c r="J49" s="85" t="s">
        <v>148</v>
      </c>
      <c r="K49" s="86" t="s">
        <v>149</v>
      </c>
    </row>
    <row r="50" spans="2:15" x14ac:dyDescent="0.45">
      <c r="B50" s="250" t="s">
        <v>196</v>
      </c>
      <c r="C50" s="175" t="s">
        <v>292</v>
      </c>
      <c r="D50" s="170" t="s">
        <v>298</v>
      </c>
      <c r="E50" s="251" t="s">
        <v>329</v>
      </c>
      <c r="F50" s="251"/>
      <c r="G50" s="251" t="s">
        <v>310</v>
      </c>
      <c r="H50" s="170" t="s">
        <v>299</v>
      </c>
      <c r="I50" s="252" t="str">
        <f>IF(OR(C50="COM", C50 ="EXP"),CONCATENATE(IF(C50="COM","[기업권한] ",IF(C50="EXP","[전문가권한] ","")),G50,", ", D50, IF(H50="ADD"," 권한 추가",""), IF(H50="DEL"," 권한 삭제","")),"")</f>
        <v>[전문가권한] 권씨씨, OO제약 기본권한 권한 삭제</v>
      </c>
      <c r="J50" s="251" t="s">
        <v>312</v>
      </c>
      <c r="K50" s="227" t="s">
        <v>351</v>
      </c>
    </row>
    <row r="51" spans="2:15" x14ac:dyDescent="0.45">
      <c r="B51" s="253" t="s">
        <v>197</v>
      </c>
      <c r="C51" s="221" t="s">
        <v>292</v>
      </c>
      <c r="D51" s="32" t="s">
        <v>298</v>
      </c>
      <c r="E51" s="226" t="s">
        <v>329</v>
      </c>
      <c r="F51" s="226"/>
      <c r="G51" s="226" t="s">
        <v>308</v>
      </c>
      <c r="H51" s="32" t="s">
        <v>291</v>
      </c>
      <c r="I51" s="248" t="str">
        <f>IF(OR(C51="COM", C51 ="EXP"),CONCATENATE(IF(C51="COM","[기업권한] ",IF(C51="EXP","[전문가권한] ","")),G51,", ", D51, IF(H51="ADD"," 권한 추가",""), IF(H51="DEL"," 권한 삭제","")),"")</f>
        <v>[전문가권한] 이비비, OO제약 기본권한 권한 추가</v>
      </c>
      <c r="J51" s="226" t="s">
        <v>312</v>
      </c>
      <c r="K51" s="225" t="s">
        <v>320</v>
      </c>
    </row>
    <row r="52" spans="2:15" x14ac:dyDescent="0.45">
      <c r="B52" s="253" t="s">
        <v>325</v>
      </c>
      <c r="C52" s="221" t="s">
        <v>292</v>
      </c>
      <c r="D52" s="32" t="s">
        <v>298</v>
      </c>
      <c r="E52" s="32" t="s">
        <v>329</v>
      </c>
      <c r="F52" s="249"/>
      <c r="G52" s="32" t="s">
        <v>310</v>
      </c>
      <c r="H52" s="32" t="s">
        <v>291</v>
      </c>
      <c r="I52" s="248" t="str">
        <f t="shared" ref="I52:I53" si="1">IF(OR(C52="COM", C52 ="EXP"),CONCATENATE(IF(C52="COM","[기업권한] ",IF(C52="EXP","[전문가권한] ","")),G52,", ", D52, IF(H52="ADD"," 권한 추가",""), IF(H52="DEL"," 권한 삭제","")),"")</f>
        <v>[전문가권한] 권씨씨, OO제약 기본권한 권한 추가</v>
      </c>
      <c r="J52" s="226" t="s">
        <v>312</v>
      </c>
      <c r="K52" s="225" t="s">
        <v>318</v>
      </c>
    </row>
    <row r="53" spans="2:15" x14ac:dyDescent="0.45">
      <c r="B53" s="253" t="s">
        <v>324</v>
      </c>
      <c r="C53" s="221" t="s">
        <v>292</v>
      </c>
      <c r="D53" s="32" t="s">
        <v>298</v>
      </c>
      <c r="E53" s="32" t="s">
        <v>329</v>
      </c>
      <c r="F53" s="249"/>
      <c r="G53" s="32" t="s">
        <v>306</v>
      </c>
      <c r="H53" s="32" t="s">
        <v>291</v>
      </c>
      <c r="I53" s="248" t="str">
        <f t="shared" si="1"/>
        <v>[전문가권한] 김에이, OO제약 기본권한 권한 추가</v>
      </c>
      <c r="J53" s="226" t="s">
        <v>312</v>
      </c>
      <c r="K53" s="225" t="s">
        <v>321</v>
      </c>
    </row>
    <row r="54" spans="2:15" ht="17.5" thickBot="1" x14ac:dyDescent="0.5">
      <c r="B54" s="244" t="s">
        <v>316</v>
      </c>
      <c r="C54" s="176" t="s">
        <v>292</v>
      </c>
      <c r="D54" s="79" t="s">
        <v>317</v>
      </c>
      <c r="E54" s="245" t="s">
        <v>330</v>
      </c>
      <c r="F54" s="245"/>
      <c r="G54" s="245" t="s">
        <v>312</v>
      </c>
      <c r="H54" s="79" t="s">
        <v>291</v>
      </c>
      <c r="I54" s="246" t="str">
        <f>IF(OR(C54="COM", C54 ="EXP"),CONCATENATE(IF(C54="COM","[기업권한] ",IF(C54="EXP","[전문가권한] ","")),G54,", ", D54, IF(H54="ADD"," 권한 추가",""), IF(H54="DEL"," 권한삭제","")),"")</f>
        <v>[전문가권한] 남디디, OO제약 관리자 권한 추가</v>
      </c>
      <c r="J54" s="254" t="s">
        <v>300</v>
      </c>
      <c r="K54" s="247" t="s">
        <v>319</v>
      </c>
    </row>
    <row r="56" spans="2:15" ht="30.5" thickBot="1" x14ac:dyDescent="0.5">
      <c r="B56" s="275" t="s">
        <v>323</v>
      </c>
      <c r="C56" s="275"/>
      <c r="D56" s="275"/>
      <c r="E56" s="275"/>
      <c r="F56" s="275"/>
      <c r="G56" s="275"/>
    </row>
    <row r="57" spans="2:15" ht="17.5" thickBot="1" x14ac:dyDescent="0.5">
      <c r="B57" s="132" t="s">
        <v>41</v>
      </c>
      <c r="C57" s="94" t="s">
        <v>53</v>
      </c>
      <c r="D57" s="62" t="s">
        <v>52</v>
      </c>
      <c r="E57" s="62" t="s">
        <v>52</v>
      </c>
      <c r="F57" s="62" t="s">
        <v>52</v>
      </c>
      <c r="G57" s="62" t="s">
        <v>52</v>
      </c>
      <c r="H57" s="94" t="s">
        <v>53</v>
      </c>
      <c r="I57" s="94" t="s">
        <v>53</v>
      </c>
      <c r="J57" s="94" t="s">
        <v>53</v>
      </c>
      <c r="K57" s="63" t="s">
        <v>53</v>
      </c>
      <c r="M57" s="263"/>
    </row>
    <row r="58" spans="2:15" x14ac:dyDescent="0.45">
      <c r="B58" s="95" t="s">
        <v>42</v>
      </c>
      <c r="C58" s="96" t="s">
        <v>126</v>
      </c>
      <c r="D58" s="96" t="s">
        <v>43</v>
      </c>
      <c r="E58" s="96" t="s">
        <v>48</v>
      </c>
      <c r="F58" s="96" t="s">
        <v>51</v>
      </c>
      <c r="G58" s="96" t="s">
        <v>28</v>
      </c>
      <c r="H58" s="96" t="s">
        <v>29</v>
      </c>
      <c r="I58" s="96" t="s">
        <v>120</v>
      </c>
      <c r="J58" s="97" t="s">
        <v>147</v>
      </c>
      <c r="K58" s="98" t="s">
        <v>146</v>
      </c>
    </row>
    <row r="59" spans="2:15" ht="17.5" thickBot="1" x14ac:dyDescent="0.5">
      <c r="B59" s="106" t="s">
        <v>86</v>
      </c>
      <c r="C59" s="78" t="s">
        <v>127</v>
      </c>
      <c r="D59" s="78" t="s">
        <v>46</v>
      </c>
      <c r="E59" s="78" t="s">
        <v>47</v>
      </c>
      <c r="F59" s="78" t="s">
        <v>50</v>
      </c>
      <c r="G59" s="78" t="s">
        <v>45</v>
      </c>
      <c r="H59" s="78" t="s">
        <v>44</v>
      </c>
      <c r="I59" s="78" t="s">
        <v>121</v>
      </c>
      <c r="J59" s="85" t="s">
        <v>148</v>
      </c>
      <c r="K59" s="86" t="s">
        <v>149</v>
      </c>
    </row>
    <row r="60" spans="2:15" ht="17.5" thickBot="1" x14ac:dyDescent="0.5">
      <c r="B60" s="256" t="s">
        <v>325</v>
      </c>
      <c r="C60" s="257" t="s">
        <v>293</v>
      </c>
      <c r="D60" s="258" t="s">
        <v>326</v>
      </c>
      <c r="E60" s="257"/>
      <c r="F60" s="257"/>
      <c r="G60" s="257" t="s">
        <v>308</v>
      </c>
      <c r="H60" s="257" t="s">
        <v>299</v>
      </c>
      <c r="I60" s="259" t="s">
        <v>327</v>
      </c>
      <c r="J60" s="257" t="s">
        <v>312</v>
      </c>
      <c r="K60" s="260" t="s">
        <v>320</v>
      </c>
    </row>
    <row r="61" spans="2:15" x14ac:dyDescent="0.45">
      <c r="B61" s="10"/>
    </row>
    <row r="62" spans="2:15" ht="30.5" thickBot="1" x14ac:dyDescent="0.5">
      <c r="B62" s="275" t="s">
        <v>331</v>
      </c>
      <c r="C62" s="275"/>
      <c r="D62" s="275"/>
      <c r="E62" s="275"/>
      <c r="F62" s="275"/>
      <c r="G62" s="275"/>
    </row>
    <row r="63" spans="2:15" ht="17.5" thickBot="1" x14ac:dyDescent="0.5">
      <c r="B63" s="132" t="s">
        <v>41</v>
      </c>
      <c r="C63" s="94" t="s">
        <v>53</v>
      </c>
      <c r="D63" s="62" t="s">
        <v>52</v>
      </c>
      <c r="E63" s="62" t="s">
        <v>52</v>
      </c>
      <c r="F63" s="62" t="s">
        <v>52</v>
      </c>
      <c r="G63" s="62" t="s">
        <v>52</v>
      </c>
      <c r="H63" s="94" t="s">
        <v>53</v>
      </c>
      <c r="I63" s="94" t="s">
        <v>53</v>
      </c>
      <c r="J63" s="94" t="s">
        <v>53</v>
      </c>
      <c r="K63" s="63" t="s">
        <v>53</v>
      </c>
      <c r="N63" s="263" t="s">
        <v>342</v>
      </c>
    </row>
    <row r="64" spans="2:15" ht="21" thickBot="1" x14ac:dyDescent="0.5">
      <c r="B64" s="95" t="s">
        <v>42</v>
      </c>
      <c r="C64" s="96" t="s">
        <v>126</v>
      </c>
      <c r="D64" s="96" t="s">
        <v>43</v>
      </c>
      <c r="E64" s="96" t="s">
        <v>48</v>
      </c>
      <c r="F64" s="96" t="s">
        <v>51</v>
      </c>
      <c r="G64" s="96" t="s">
        <v>28</v>
      </c>
      <c r="H64" s="96" t="s">
        <v>29</v>
      </c>
      <c r="I64" s="96" t="s">
        <v>120</v>
      </c>
      <c r="J64" s="97" t="s">
        <v>147</v>
      </c>
      <c r="K64" s="98" t="s">
        <v>146</v>
      </c>
      <c r="N64" s="261" t="s">
        <v>341</v>
      </c>
      <c r="O64" s="262" t="s">
        <v>340</v>
      </c>
    </row>
    <row r="65" spans="2:15" ht="17.5" thickBot="1" x14ac:dyDescent="0.5">
      <c r="B65" s="106" t="s">
        <v>86</v>
      </c>
      <c r="C65" s="78" t="s">
        <v>127</v>
      </c>
      <c r="D65" s="78" t="s">
        <v>46</v>
      </c>
      <c r="E65" s="78" t="s">
        <v>47</v>
      </c>
      <c r="F65" s="78" t="s">
        <v>50</v>
      </c>
      <c r="G65" s="78" t="s">
        <v>45</v>
      </c>
      <c r="H65" s="78" t="s">
        <v>44</v>
      </c>
      <c r="I65" s="78" t="s">
        <v>121</v>
      </c>
      <c r="J65" s="85" t="s">
        <v>148</v>
      </c>
      <c r="K65" s="86" t="s">
        <v>149</v>
      </c>
      <c r="N65" s="39" t="s">
        <v>335</v>
      </c>
      <c r="O65" s="57" t="s">
        <v>337</v>
      </c>
    </row>
    <row r="66" spans="2:15" x14ac:dyDescent="0.45">
      <c r="B66" s="250" t="s">
        <v>332</v>
      </c>
      <c r="C66" s="170" t="s">
        <v>293</v>
      </c>
      <c r="D66" s="170" t="s">
        <v>333</v>
      </c>
      <c r="E66" s="170"/>
      <c r="F66" s="255"/>
      <c r="G66" s="170" t="s">
        <v>334</v>
      </c>
      <c r="H66" s="170" t="s">
        <v>343</v>
      </c>
      <c r="I66" s="255" t="str">
        <f>CONCATENATE(IF(H66="REJC","[반려] ",IF(H66="APRV","[승인] ",IF(H66="PEND","[승인대기] "))),G66,", ",D66," 권한")</f>
        <v>[반려] 원관리, □□병원 관리자 권한</v>
      </c>
      <c r="J66" s="170" t="s">
        <v>300</v>
      </c>
      <c r="K66" s="227" t="s">
        <v>348</v>
      </c>
      <c r="N66" s="19" t="s">
        <v>343</v>
      </c>
      <c r="O66" s="45" t="s">
        <v>338</v>
      </c>
    </row>
    <row r="67" spans="2:15" ht="17.5" thickBot="1" x14ac:dyDescent="0.5">
      <c r="B67" s="253" t="s">
        <v>346</v>
      </c>
      <c r="C67" s="32" t="s">
        <v>293</v>
      </c>
      <c r="D67" s="32" t="s">
        <v>333</v>
      </c>
      <c r="E67" s="249"/>
      <c r="F67" s="249"/>
      <c r="G67" s="32" t="s">
        <v>344</v>
      </c>
      <c r="H67" s="32" t="s">
        <v>335</v>
      </c>
      <c r="I67" s="249" t="str">
        <f>CONCATENATE(IF(H67="REJC","[반려] ",IF(H67="APRV","[승인] ",IF(H67="PEND","[승인대기] "))),G67,", ",D67," 권한")</f>
        <v>[승인] 양병원, □□병원 관리자 권한</v>
      </c>
      <c r="J67" s="32" t="s">
        <v>300</v>
      </c>
      <c r="K67" s="225" t="s">
        <v>349</v>
      </c>
      <c r="N67" s="20" t="s">
        <v>336</v>
      </c>
      <c r="O67" s="47" t="s">
        <v>339</v>
      </c>
    </row>
    <row r="68" spans="2:15" ht="17.5" thickBot="1" x14ac:dyDescent="0.5">
      <c r="B68" s="264" t="s">
        <v>347</v>
      </c>
      <c r="C68" s="265" t="s">
        <v>293</v>
      </c>
      <c r="D68" s="265" t="s">
        <v>333</v>
      </c>
      <c r="E68" s="266"/>
      <c r="F68" s="266"/>
      <c r="G68" s="265" t="s">
        <v>345</v>
      </c>
      <c r="H68" s="265" t="s">
        <v>336</v>
      </c>
      <c r="I68" s="266" t="str">
        <f>CONCATENATE(IF(H68="REJC","[반려] ",IF(H68="APRV","[승인] ",IF(H68="PEND","[승인대기] "))),G68,", ",D68," 권한")</f>
        <v>[승인대기] 변원장, □□병원 관리자 권한</v>
      </c>
      <c r="J68" s="265" t="s">
        <v>300</v>
      </c>
      <c r="K68" s="267" t="s">
        <v>350</v>
      </c>
    </row>
  </sheetData>
  <mergeCells count="9">
    <mergeCell ref="N7:N10"/>
    <mergeCell ref="B24:F24"/>
    <mergeCell ref="B31:F31"/>
    <mergeCell ref="B23:G23"/>
    <mergeCell ref="B46:G46"/>
    <mergeCell ref="B56:G56"/>
    <mergeCell ref="B62:G62"/>
    <mergeCell ref="B2:G2"/>
    <mergeCell ref="L7:L10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5"/>
  <sheetViews>
    <sheetView zoomScale="85" zoomScaleNormal="85" workbookViewId="0">
      <selection activeCell="C52" sqref="C52"/>
    </sheetView>
  </sheetViews>
  <sheetFormatPr defaultRowHeight="17" x14ac:dyDescent="0.45"/>
  <cols>
    <col min="1" max="1" width="3.58203125" customWidth="1"/>
    <col min="2" max="2" width="23.1640625" bestFit="1" customWidth="1"/>
    <col min="3" max="3" width="38" bestFit="1" customWidth="1"/>
    <col min="4" max="4" width="29.5" bestFit="1" customWidth="1"/>
    <col min="5" max="5" width="19.75" bestFit="1" customWidth="1"/>
    <col min="6" max="6" width="25.1640625" bestFit="1" customWidth="1"/>
    <col min="7" max="7" width="38" bestFit="1" customWidth="1"/>
    <col min="8" max="8" width="29.5" bestFit="1" customWidth="1"/>
    <col min="9" max="9" width="48.75" bestFit="1" customWidth="1"/>
    <col min="10" max="10" width="17" bestFit="1" customWidth="1"/>
    <col min="11" max="12" width="26.83203125" bestFit="1" customWidth="1"/>
    <col min="13" max="13" width="28.33203125" bestFit="1" customWidth="1"/>
    <col min="14" max="14" width="29.5" bestFit="1" customWidth="1"/>
  </cols>
  <sheetData>
    <row r="2" spans="2:15" ht="30" x14ac:dyDescent="0.45">
      <c r="B2" s="275" t="s">
        <v>285</v>
      </c>
      <c r="C2" s="275"/>
      <c r="D2" s="275"/>
      <c r="E2" s="275"/>
      <c r="F2" s="275"/>
      <c r="G2" s="275"/>
    </row>
    <row r="3" spans="2:15" ht="17.5" thickBot="1" x14ac:dyDescent="0.5"/>
    <row r="4" spans="2:15" ht="26" thickBot="1" x14ac:dyDescent="0.5">
      <c r="B4" s="7" t="s">
        <v>30</v>
      </c>
      <c r="C4" s="7" t="s">
        <v>3</v>
      </c>
      <c r="D4" s="7" t="s">
        <v>40</v>
      </c>
      <c r="F4" s="65" t="s">
        <v>30</v>
      </c>
      <c r="G4" s="67" t="s">
        <v>3</v>
      </c>
      <c r="I4" s="70" t="s">
        <v>130</v>
      </c>
      <c r="J4" s="71" t="s">
        <v>56</v>
      </c>
      <c r="L4" s="7" t="s">
        <v>25</v>
      </c>
      <c r="M4" s="7" t="s">
        <v>2</v>
      </c>
      <c r="N4" s="7" t="s">
        <v>7</v>
      </c>
      <c r="O4" s="7" t="s">
        <v>3</v>
      </c>
    </row>
    <row r="5" spans="2:15" x14ac:dyDescent="0.45">
      <c r="B5" s="16" t="s">
        <v>36</v>
      </c>
      <c r="C5" s="16" t="s">
        <v>31</v>
      </c>
      <c r="D5" s="16" t="s">
        <v>133</v>
      </c>
      <c r="F5" s="28" t="s">
        <v>124</v>
      </c>
      <c r="G5" s="53" t="s">
        <v>56</v>
      </c>
      <c r="I5" s="50" t="s">
        <v>161</v>
      </c>
      <c r="J5" s="72" t="s">
        <v>102</v>
      </c>
      <c r="L5" s="6">
        <v>1</v>
      </c>
      <c r="M5" s="5" t="s">
        <v>1</v>
      </c>
      <c r="N5" s="5" t="s">
        <v>1</v>
      </c>
      <c r="O5" s="5" t="s">
        <v>4</v>
      </c>
    </row>
    <row r="6" spans="2:15" x14ac:dyDescent="0.45">
      <c r="B6" s="16" t="s">
        <v>37</v>
      </c>
      <c r="C6" s="16" t="s">
        <v>32</v>
      </c>
      <c r="D6" s="16" t="s">
        <v>134</v>
      </c>
      <c r="F6" s="19" t="s">
        <v>122</v>
      </c>
      <c r="G6" s="45" t="s">
        <v>57</v>
      </c>
      <c r="I6" s="19" t="s">
        <v>162</v>
      </c>
      <c r="J6" s="73" t="s">
        <v>101</v>
      </c>
      <c r="L6" s="6">
        <v>2</v>
      </c>
      <c r="M6" s="5" t="s">
        <v>5</v>
      </c>
      <c r="N6" s="5" t="s">
        <v>5</v>
      </c>
      <c r="O6" s="5" t="s">
        <v>6</v>
      </c>
    </row>
    <row r="7" spans="2:15" x14ac:dyDescent="0.45">
      <c r="B7" s="3" t="s">
        <v>38</v>
      </c>
      <c r="C7" s="3" t="s">
        <v>33</v>
      </c>
      <c r="D7" s="81" t="s">
        <v>135</v>
      </c>
      <c r="F7" s="19" t="s">
        <v>123</v>
      </c>
      <c r="G7" s="45" t="s">
        <v>58</v>
      </c>
      <c r="I7" s="19" t="s">
        <v>163</v>
      </c>
      <c r="J7" s="73" t="s">
        <v>101</v>
      </c>
      <c r="L7" s="271">
        <v>3</v>
      </c>
      <c r="M7" s="5" t="s">
        <v>9</v>
      </c>
      <c r="N7" s="270" t="s">
        <v>8</v>
      </c>
      <c r="O7" s="5" t="s">
        <v>15</v>
      </c>
    </row>
    <row r="8" spans="2:15" ht="17.5" thickBot="1" x14ac:dyDescent="0.5">
      <c r="B8" s="3" t="s">
        <v>39</v>
      </c>
      <c r="C8" s="3" t="s">
        <v>34</v>
      </c>
      <c r="D8" s="82" t="s">
        <v>135</v>
      </c>
      <c r="F8" s="19" t="s">
        <v>60</v>
      </c>
      <c r="G8" s="45" t="s">
        <v>54</v>
      </c>
      <c r="I8" s="20" t="s">
        <v>164</v>
      </c>
      <c r="J8" s="74" t="s">
        <v>101</v>
      </c>
      <c r="L8" s="271"/>
      <c r="M8" s="5" t="s">
        <v>10</v>
      </c>
      <c r="N8" s="270"/>
      <c r="O8" s="5" t="s">
        <v>16</v>
      </c>
    </row>
    <row r="9" spans="2:15" ht="17.5" thickBot="1" x14ac:dyDescent="0.5">
      <c r="F9" s="19" t="s">
        <v>125</v>
      </c>
      <c r="G9" s="45" t="s">
        <v>13</v>
      </c>
      <c r="L9" s="271"/>
      <c r="M9" s="5" t="s">
        <v>17</v>
      </c>
      <c r="N9" s="270"/>
      <c r="O9" s="5" t="s">
        <v>18</v>
      </c>
    </row>
    <row r="10" spans="2:15" ht="17.5" thickBot="1" x14ac:dyDescent="0.5">
      <c r="F10" s="20" t="s">
        <v>61</v>
      </c>
      <c r="G10" s="47" t="s">
        <v>55</v>
      </c>
      <c r="I10" s="48" t="s">
        <v>89</v>
      </c>
      <c r="J10" s="49" t="s">
        <v>94</v>
      </c>
      <c r="L10" s="271"/>
      <c r="M10" s="5" t="s">
        <v>11</v>
      </c>
      <c r="N10" s="270"/>
      <c r="O10" s="5" t="s">
        <v>19</v>
      </c>
    </row>
    <row r="11" spans="2:15" ht="17.5" thickBot="1" x14ac:dyDescent="0.5">
      <c r="I11" s="136" t="s">
        <v>88</v>
      </c>
      <c r="J11" s="137" t="s">
        <v>63</v>
      </c>
      <c r="L11" s="6">
        <v>4</v>
      </c>
      <c r="M11" s="5" t="s">
        <v>13</v>
      </c>
      <c r="N11" s="5" t="s">
        <v>12</v>
      </c>
      <c r="O11" s="5" t="s">
        <v>20</v>
      </c>
    </row>
    <row r="12" spans="2:15" ht="17.5" thickBot="1" x14ac:dyDescent="0.5">
      <c r="B12" s="42" t="s">
        <v>103</v>
      </c>
      <c r="C12" s="43" t="s">
        <v>95</v>
      </c>
      <c r="I12" s="138" t="s">
        <v>90</v>
      </c>
      <c r="J12" s="73" t="s">
        <v>88</v>
      </c>
      <c r="L12" s="6">
        <v>5</v>
      </c>
      <c r="M12" s="5" t="s">
        <v>14</v>
      </c>
      <c r="N12" s="5" t="s">
        <v>23</v>
      </c>
      <c r="O12" s="5" t="s">
        <v>21</v>
      </c>
    </row>
    <row r="13" spans="2:15" ht="17.5" thickBot="1" x14ac:dyDescent="0.5">
      <c r="B13" s="50" t="s">
        <v>161</v>
      </c>
      <c r="C13" s="144" t="s">
        <v>90</v>
      </c>
      <c r="E13" s="30" t="s">
        <v>95</v>
      </c>
      <c r="F13" s="31" t="s">
        <v>96</v>
      </c>
      <c r="G13" s="22" t="s">
        <v>68</v>
      </c>
      <c r="I13" s="138" t="s">
        <v>177</v>
      </c>
      <c r="J13" s="73" t="s">
        <v>88</v>
      </c>
      <c r="L13" s="6">
        <v>6</v>
      </c>
      <c r="M13" s="5" t="s">
        <v>67</v>
      </c>
      <c r="N13" s="5" t="s">
        <v>22</v>
      </c>
      <c r="O13" s="5" t="s">
        <v>24</v>
      </c>
    </row>
    <row r="14" spans="2:15" x14ac:dyDescent="0.45">
      <c r="B14" s="19" t="s">
        <v>162</v>
      </c>
      <c r="C14" s="145" t="s">
        <v>165</v>
      </c>
      <c r="E14" s="133" t="s">
        <v>90</v>
      </c>
      <c r="F14" s="127" t="s">
        <v>97</v>
      </c>
      <c r="G14" s="131" t="s">
        <v>66</v>
      </c>
      <c r="I14" s="138" t="s">
        <v>98</v>
      </c>
      <c r="J14" s="73" t="s">
        <v>88</v>
      </c>
      <c r="L14" s="6">
        <v>99</v>
      </c>
      <c r="M14" s="5" t="s">
        <v>64</v>
      </c>
      <c r="N14" s="14" t="s">
        <v>63</v>
      </c>
      <c r="O14" s="5" t="s">
        <v>65</v>
      </c>
    </row>
    <row r="15" spans="2:15" x14ac:dyDescent="0.45">
      <c r="B15" s="19" t="s">
        <v>163</v>
      </c>
      <c r="C15" s="145" t="s">
        <v>166</v>
      </c>
      <c r="E15" s="134" t="s">
        <v>177</v>
      </c>
      <c r="F15" s="24" t="s">
        <v>108</v>
      </c>
      <c r="G15" s="25" t="s">
        <v>0</v>
      </c>
      <c r="I15" s="138" t="s">
        <v>179</v>
      </c>
      <c r="J15" s="73" t="s">
        <v>88</v>
      </c>
    </row>
    <row r="16" spans="2:15" ht="17.5" thickBot="1" x14ac:dyDescent="0.5">
      <c r="B16" s="20" t="s">
        <v>164</v>
      </c>
      <c r="C16" s="146" t="s">
        <v>88</v>
      </c>
      <c r="E16" s="135" t="s">
        <v>98</v>
      </c>
      <c r="F16" s="24" t="s">
        <v>178</v>
      </c>
      <c r="G16" s="25" t="s">
        <v>99</v>
      </c>
      <c r="I16" s="19" t="s">
        <v>109</v>
      </c>
      <c r="J16" s="123" t="s">
        <v>169</v>
      </c>
    </row>
    <row r="17" spans="1:13" ht="17.5" thickBot="1" x14ac:dyDescent="0.5">
      <c r="A17" s="15"/>
      <c r="E17" s="91" t="s">
        <v>174</v>
      </c>
      <c r="F17" s="92" t="s">
        <v>173</v>
      </c>
      <c r="G17" s="27" t="s">
        <v>175</v>
      </c>
      <c r="I17" s="17" t="s">
        <v>110</v>
      </c>
      <c r="J17" s="45" t="s">
        <v>109</v>
      </c>
    </row>
    <row r="18" spans="1:13" ht="17.5" thickBot="1" x14ac:dyDescent="0.5">
      <c r="A18" s="15"/>
      <c r="I18" s="17" t="s">
        <v>111</v>
      </c>
      <c r="J18" s="45" t="s">
        <v>109</v>
      </c>
    </row>
    <row r="19" spans="1:13" ht="17.5" thickBot="1" x14ac:dyDescent="0.5">
      <c r="E19" s="37" t="s">
        <v>100</v>
      </c>
      <c r="F19" s="38" t="s">
        <v>95</v>
      </c>
      <c r="I19" s="17" t="s">
        <v>174</v>
      </c>
      <c r="J19" s="45" t="s">
        <v>109</v>
      </c>
    </row>
    <row r="20" spans="1:13" ht="17.5" thickBot="1" x14ac:dyDescent="0.5">
      <c r="E20" s="35" t="s">
        <v>102</v>
      </c>
      <c r="F20" s="36" t="s">
        <v>88</v>
      </c>
      <c r="I20" s="46" t="s">
        <v>113</v>
      </c>
      <c r="J20" s="47" t="s">
        <v>109</v>
      </c>
    </row>
    <row r="22" spans="1:13" ht="26" x14ac:dyDescent="0.45">
      <c r="B22" s="276" t="s">
        <v>187</v>
      </c>
      <c r="C22" s="276"/>
      <c r="D22" s="276"/>
      <c r="E22" s="276"/>
      <c r="F22" s="276"/>
    </row>
    <row r="23" spans="1:13" x14ac:dyDescent="0.45">
      <c r="B23" s="277" t="s">
        <v>186</v>
      </c>
      <c r="C23" s="277"/>
      <c r="D23" s="277"/>
      <c r="E23" s="277"/>
      <c r="F23" s="277"/>
      <c r="G23" s="277"/>
    </row>
    <row r="24" spans="1:13" ht="17.5" thickBot="1" x14ac:dyDescent="0.5">
      <c r="B24" s="164" t="s">
        <v>188</v>
      </c>
    </row>
    <row r="25" spans="1:13" ht="17.5" thickBot="1" x14ac:dyDescent="0.5">
      <c r="B25" s="132" t="s">
        <v>41</v>
      </c>
      <c r="C25" s="94" t="s">
        <v>53</v>
      </c>
      <c r="D25" s="62" t="s">
        <v>52</v>
      </c>
      <c r="E25" s="62" t="s">
        <v>52</v>
      </c>
      <c r="F25" s="62" t="s">
        <v>52</v>
      </c>
      <c r="G25" s="62" t="s">
        <v>52</v>
      </c>
      <c r="H25" s="94" t="s">
        <v>53</v>
      </c>
      <c r="I25" s="94" t="s">
        <v>53</v>
      </c>
      <c r="J25" s="94" t="s">
        <v>53</v>
      </c>
      <c r="K25" s="63" t="s">
        <v>53</v>
      </c>
      <c r="L25" s="2"/>
      <c r="M25" s="2"/>
    </row>
    <row r="26" spans="1:13" x14ac:dyDescent="0.45">
      <c r="B26" s="95" t="s">
        <v>42</v>
      </c>
      <c r="C26" s="96" t="s">
        <v>126</v>
      </c>
      <c r="D26" s="96" t="s">
        <v>43</v>
      </c>
      <c r="E26" s="96" t="s">
        <v>48</v>
      </c>
      <c r="F26" s="96" t="s">
        <v>51</v>
      </c>
      <c r="G26" s="96" t="s">
        <v>28</v>
      </c>
      <c r="H26" s="96" t="s">
        <v>29</v>
      </c>
      <c r="I26" s="96" t="s">
        <v>120</v>
      </c>
      <c r="J26" s="97" t="s">
        <v>147</v>
      </c>
      <c r="K26" s="98" t="s">
        <v>146</v>
      </c>
      <c r="L26" s="2"/>
      <c r="M26" s="2"/>
    </row>
    <row r="27" spans="1:13" ht="17.5" thickBot="1" x14ac:dyDescent="0.5">
      <c r="B27" s="106" t="s">
        <v>86</v>
      </c>
      <c r="C27" s="78" t="s">
        <v>127</v>
      </c>
      <c r="D27" s="78" t="s">
        <v>46</v>
      </c>
      <c r="E27" s="78" t="s">
        <v>47</v>
      </c>
      <c r="F27" s="78" t="s">
        <v>50</v>
      </c>
      <c r="G27" s="78" t="s">
        <v>45</v>
      </c>
      <c r="H27" s="78" t="s">
        <v>44</v>
      </c>
      <c r="I27" s="78" t="s">
        <v>121</v>
      </c>
      <c r="J27" s="85" t="s">
        <v>148</v>
      </c>
      <c r="K27" s="86" t="s">
        <v>149</v>
      </c>
      <c r="L27" s="2"/>
      <c r="M27" s="2"/>
    </row>
    <row r="28" spans="1:13" ht="17.5" thickBot="1" x14ac:dyDescent="0.5">
      <c r="B28" s="158" t="s">
        <v>171</v>
      </c>
      <c r="C28" s="159" t="s">
        <v>125</v>
      </c>
      <c r="D28" s="159" t="s">
        <v>90</v>
      </c>
      <c r="E28" s="160" t="s">
        <v>97</v>
      </c>
      <c r="F28" s="161" t="s">
        <v>175</v>
      </c>
      <c r="G28" s="160" t="s">
        <v>63</v>
      </c>
      <c r="H28" s="159" t="s">
        <v>36</v>
      </c>
      <c r="I28" s="159" t="str">
        <f>CONCATENATE(IF(C28="BBS","[게시판] ",IF(C28="MNU","[권한별메뉴] ",IF(C28="GRP","[권한 그룹] ",""))),(CONCATENATE(D28,"권한 ",E28,"(",F28,")",IF(H28="ADD"," 추가"," 제거"))))</f>
        <v>[권한별메뉴] 정보화_기본권한 정보화_메뉴1(FILE) 추가</v>
      </c>
      <c r="J28" s="162" t="s">
        <v>170</v>
      </c>
      <c r="K28" s="163" t="s">
        <v>140</v>
      </c>
      <c r="L28" s="2"/>
      <c r="M28" s="2"/>
    </row>
    <row r="30" spans="1:13" ht="26" x14ac:dyDescent="0.45">
      <c r="B30" s="276" t="s">
        <v>181</v>
      </c>
      <c r="C30" s="276"/>
      <c r="D30" s="276"/>
      <c r="E30" s="276"/>
      <c r="F30" s="276"/>
    </row>
    <row r="31" spans="1:13" x14ac:dyDescent="0.45">
      <c r="B31" s="277" t="s">
        <v>189</v>
      </c>
      <c r="C31" s="277"/>
      <c r="D31" s="277"/>
      <c r="E31" s="277"/>
      <c r="F31" s="277"/>
      <c r="G31" s="277"/>
    </row>
    <row r="32" spans="1:13" ht="17.5" thickBot="1" x14ac:dyDescent="0.5"/>
    <row r="33" spans="2:11" ht="17.5" thickBot="1" x14ac:dyDescent="0.5">
      <c r="B33" s="132" t="s">
        <v>41</v>
      </c>
      <c r="C33" s="94" t="s">
        <v>53</v>
      </c>
      <c r="D33" s="62" t="s">
        <v>52</v>
      </c>
      <c r="E33" s="62" t="s">
        <v>52</v>
      </c>
      <c r="F33" s="62" t="s">
        <v>52</v>
      </c>
      <c r="G33" s="62" t="s">
        <v>52</v>
      </c>
      <c r="H33" s="94" t="s">
        <v>53</v>
      </c>
      <c r="I33" s="94" t="s">
        <v>53</v>
      </c>
      <c r="J33" s="94" t="s">
        <v>53</v>
      </c>
      <c r="K33" s="63" t="s">
        <v>53</v>
      </c>
    </row>
    <row r="34" spans="2:11" x14ac:dyDescent="0.45">
      <c r="B34" s="95" t="s">
        <v>42</v>
      </c>
      <c r="C34" s="96" t="s">
        <v>126</v>
      </c>
      <c r="D34" s="96" t="s">
        <v>43</v>
      </c>
      <c r="E34" s="96" t="s">
        <v>48</v>
      </c>
      <c r="F34" s="96" t="s">
        <v>51</v>
      </c>
      <c r="G34" s="96" t="s">
        <v>28</v>
      </c>
      <c r="H34" s="96" t="s">
        <v>29</v>
      </c>
      <c r="I34" s="96" t="s">
        <v>120</v>
      </c>
      <c r="J34" s="97" t="s">
        <v>147</v>
      </c>
      <c r="K34" s="98" t="s">
        <v>146</v>
      </c>
    </row>
    <row r="35" spans="2:11" ht="17.5" thickBot="1" x14ac:dyDescent="0.5">
      <c r="B35" s="99" t="s">
        <v>86</v>
      </c>
      <c r="C35" s="64" t="s">
        <v>127</v>
      </c>
      <c r="D35" s="64" t="s">
        <v>46</v>
      </c>
      <c r="E35" s="64" t="s">
        <v>47</v>
      </c>
      <c r="F35" s="64" t="s">
        <v>50</v>
      </c>
      <c r="G35" s="64" t="s">
        <v>45</v>
      </c>
      <c r="H35" s="64" t="s">
        <v>44</v>
      </c>
      <c r="I35" s="64" t="s">
        <v>121</v>
      </c>
      <c r="J35" s="83" t="s">
        <v>148</v>
      </c>
      <c r="K35" s="84" t="s">
        <v>149</v>
      </c>
    </row>
    <row r="36" spans="2:11" x14ac:dyDescent="0.45">
      <c r="B36" s="150" t="s">
        <v>129</v>
      </c>
      <c r="C36" s="151" t="s">
        <v>122</v>
      </c>
      <c r="D36" s="61" t="s">
        <v>90</v>
      </c>
      <c r="E36" s="152" t="s">
        <v>180</v>
      </c>
      <c r="F36" s="165" t="s">
        <v>175</v>
      </c>
      <c r="G36" s="151" t="s">
        <v>161</v>
      </c>
      <c r="H36" s="151" t="s">
        <v>36</v>
      </c>
      <c r="I36" s="59" t="str">
        <f>IF(OR(C36="PIC",C36="DEP",C36="EXP"),CONCATENATE(IF(C36="PIC","[담당자권한] ",IF(C36="DEP","[부서권한] ",IF(C36="EXP","[전문가권한] ",""))),G36,", ",D36,IF(H36="ADD"," 권한 추가",""),IF(F36&lt;&gt;"","("&amp;F36&amp;")",""),IF(H36="DEL"," 권한삭제","")),"")</f>
        <v>[담당자권한] 김사원, 정보화_기본 권한 추가(FILE)</v>
      </c>
      <c r="J36" s="153" t="s">
        <v>153</v>
      </c>
      <c r="K36" s="154" t="s">
        <v>156</v>
      </c>
    </row>
    <row r="37" spans="2:11" x14ac:dyDescent="0.45">
      <c r="B37" s="141" t="s">
        <v>128</v>
      </c>
      <c r="C37" s="142" t="s">
        <v>122</v>
      </c>
      <c r="D37" s="142" t="s">
        <v>90</v>
      </c>
      <c r="E37" s="148" t="s">
        <v>180</v>
      </c>
      <c r="F37" s="166" t="s">
        <v>175</v>
      </c>
      <c r="G37" s="142" t="s">
        <v>162</v>
      </c>
      <c r="H37" s="142" t="s">
        <v>35</v>
      </c>
      <c r="I37" s="59" t="str">
        <f t="shared" ref="I37:I40" si="0">IF(OR(C37="PIC",C37="DEP",C37="EXP"),CONCATENATE(IF(C37="PIC","[담당자권한] ",IF(C37="DEP","[부서권한] ",IF(C37="EXP","[전문가권한] ",""))),G37,", ",D37,IF(H37="ADD"," 권한 추가",""),IF(F37&lt;&gt;"","("&amp;F37&amp;")",""),IF(H37="DEL"," 권한삭제","")),"")</f>
        <v>[담당자권한] 권대리, 정보화_기본 권한 추가(FILE)</v>
      </c>
      <c r="J37" s="125" t="s">
        <v>153</v>
      </c>
      <c r="K37" s="143" t="s">
        <v>156</v>
      </c>
    </row>
    <row r="38" spans="2:11" x14ac:dyDescent="0.45">
      <c r="B38" s="141" t="s">
        <v>119</v>
      </c>
      <c r="C38" s="142" t="s">
        <v>122</v>
      </c>
      <c r="D38" s="142" t="s">
        <v>90</v>
      </c>
      <c r="E38" s="148" t="s">
        <v>180</v>
      </c>
      <c r="F38" s="166" t="s">
        <v>175</v>
      </c>
      <c r="G38" s="142" t="s">
        <v>163</v>
      </c>
      <c r="H38" s="142" t="s">
        <v>36</v>
      </c>
      <c r="I38" s="59" t="str">
        <f t="shared" si="0"/>
        <v>[담당자권한] 오부장, 정보화_기본 권한 추가(FILE)</v>
      </c>
      <c r="J38" s="125" t="s">
        <v>153</v>
      </c>
      <c r="K38" s="143" t="s">
        <v>156</v>
      </c>
    </row>
    <row r="39" spans="2:11" x14ac:dyDescent="0.45">
      <c r="B39" s="141" t="s">
        <v>167</v>
      </c>
      <c r="C39" s="142" t="s">
        <v>122</v>
      </c>
      <c r="D39" s="142" t="s">
        <v>90</v>
      </c>
      <c r="E39" s="148" t="s">
        <v>97</v>
      </c>
      <c r="F39" s="166" t="s">
        <v>175</v>
      </c>
      <c r="G39" s="142" t="s">
        <v>164</v>
      </c>
      <c r="H39" s="142" t="s">
        <v>36</v>
      </c>
      <c r="I39" s="59" t="str">
        <f t="shared" si="0"/>
        <v>[담당자권한] 안차장, 정보화_기본 권한 추가(FILE)</v>
      </c>
      <c r="J39" s="125" t="s">
        <v>153</v>
      </c>
      <c r="K39" s="143" t="s">
        <v>156</v>
      </c>
    </row>
    <row r="40" spans="2:11" ht="17.5" hidden="1" thickBot="1" x14ac:dyDescent="0.5">
      <c r="B40" s="107" t="s">
        <v>172</v>
      </c>
      <c r="C40" s="26" t="s">
        <v>124</v>
      </c>
      <c r="D40" s="26" t="s">
        <v>111</v>
      </c>
      <c r="E40" s="149" t="s">
        <v>97</v>
      </c>
      <c r="F40" s="108" t="s">
        <v>63</v>
      </c>
      <c r="G40" s="26" t="s">
        <v>102</v>
      </c>
      <c r="H40" s="26" t="s">
        <v>36</v>
      </c>
      <c r="I40" s="89" t="str">
        <f t="shared" si="0"/>
        <v>[부서권한] 정보화팀, 게시판쓰기 권한 추가(-)</v>
      </c>
      <c r="J40" s="109" t="s">
        <v>153</v>
      </c>
      <c r="K40" s="110" t="s">
        <v>140</v>
      </c>
    </row>
    <row r="42" spans="2:11" ht="17.5" thickBot="1" x14ac:dyDescent="0.5">
      <c r="B42" s="8" t="s">
        <v>182</v>
      </c>
      <c r="F42" s="8" t="s">
        <v>185</v>
      </c>
    </row>
    <row r="43" spans="2:11" ht="17.5" thickBot="1" x14ac:dyDescent="0.5">
      <c r="B43" s="30" t="s">
        <v>95</v>
      </c>
      <c r="C43" s="31" t="s">
        <v>96</v>
      </c>
      <c r="D43" s="22" t="s">
        <v>68</v>
      </c>
      <c r="F43" s="30" t="s">
        <v>95</v>
      </c>
      <c r="G43" s="31" t="s">
        <v>96</v>
      </c>
      <c r="H43" s="22" t="s">
        <v>68</v>
      </c>
    </row>
    <row r="44" spans="2:11" x14ac:dyDescent="0.45">
      <c r="B44" s="133" t="s">
        <v>90</v>
      </c>
      <c r="C44" s="127" t="s">
        <v>97</v>
      </c>
      <c r="D44" s="131" t="s">
        <v>66</v>
      </c>
      <c r="F44" s="133" t="s">
        <v>90</v>
      </c>
      <c r="G44" s="127" t="s">
        <v>97</v>
      </c>
      <c r="H44" s="131" t="s">
        <v>175</v>
      </c>
    </row>
    <row r="45" spans="2:11" x14ac:dyDescent="0.45">
      <c r="B45" s="134" t="s">
        <v>177</v>
      </c>
      <c r="C45" s="24" t="s">
        <v>108</v>
      </c>
      <c r="D45" s="25" t="s">
        <v>0</v>
      </c>
      <c r="F45" s="134" t="s">
        <v>177</v>
      </c>
      <c r="G45" s="24" t="s">
        <v>108</v>
      </c>
      <c r="H45" s="25" t="s">
        <v>183</v>
      </c>
    </row>
    <row r="46" spans="2:11" x14ac:dyDescent="0.45">
      <c r="B46" s="135" t="s">
        <v>98</v>
      </c>
      <c r="C46" s="24" t="s">
        <v>178</v>
      </c>
      <c r="D46" s="25" t="s">
        <v>99</v>
      </c>
      <c r="F46" s="135" t="s">
        <v>98</v>
      </c>
      <c r="G46" s="24" t="s">
        <v>178</v>
      </c>
      <c r="H46" s="25" t="s">
        <v>184</v>
      </c>
    </row>
    <row r="47" spans="2:11" ht="17.5" thickBot="1" x14ac:dyDescent="0.5">
      <c r="B47" s="91" t="s">
        <v>174</v>
      </c>
      <c r="C47" s="92" t="s">
        <v>173</v>
      </c>
      <c r="D47" s="27" t="s">
        <v>175</v>
      </c>
      <c r="F47" s="91" t="s">
        <v>174</v>
      </c>
      <c r="G47" s="92" t="s">
        <v>173</v>
      </c>
      <c r="H47" s="27" t="s">
        <v>175</v>
      </c>
    </row>
    <row r="54" spans="6:7" x14ac:dyDescent="0.45">
      <c r="F54" s="124"/>
      <c r="G54" s="124"/>
    </row>
    <row r="55" spans="6:7" x14ac:dyDescent="0.45">
      <c r="F55" s="124"/>
      <c r="G55" s="124"/>
    </row>
  </sheetData>
  <mergeCells count="7">
    <mergeCell ref="B31:G31"/>
    <mergeCell ref="B23:G23"/>
    <mergeCell ref="L7:L10"/>
    <mergeCell ref="N7:N10"/>
    <mergeCell ref="B2:G2"/>
    <mergeCell ref="B22:F22"/>
    <mergeCell ref="B30:F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6"/>
  <sheetViews>
    <sheetView zoomScale="85" zoomScaleNormal="85" workbookViewId="0">
      <selection activeCell="D52" sqref="D52"/>
    </sheetView>
  </sheetViews>
  <sheetFormatPr defaultRowHeight="17" x14ac:dyDescent="0.45"/>
  <cols>
    <col min="1" max="1" width="3.58203125" customWidth="1"/>
    <col min="2" max="2" width="23.1640625" bestFit="1" customWidth="1"/>
    <col min="3" max="3" width="22.25" bestFit="1" customWidth="1"/>
    <col min="4" max="4" width="22.08203125" bestFit="1" customWidth="1"/>
    <col min="5" max="5" width="19.75" bestFit="1" customWidth="1"/>
    <col min="6" max="6" width="21.5" customWidth="1"/>
    <col min="7" max="7" width="29.5" bestFit="1" customWidth="1"/>
    <col min="8" max="8" width="25" bestFit="1" customWidth="1"/>
    <col min="9" max="9" width="59.75" bestFit="1" customWidth="1"/>
    <col min="10" max="10" width="17" bestFit="1" customWidth="1"/>
    <col min="11" max="11" width="26.83203125" bestFit="1" customWidth="1"/>
    <col min="12" max="12" width="5.75" bestFit="1" customWidth="1"/>
    <col min="13" max="13" width="28.33203125" bestFit="1" customWidth="1"/>
    <col min="14" max="14" width="17.75" bestFit="1" customWidth="1"/>
    <col min="15" max="15" width="38" bestFit="1" customWidth="1"/>
  </cols>
  <sheetData>
    <row r="2" spans="2:15" ht="30" x14ac:dyDescent="0.45">
      <c r="B2" s="275" t="s">
        <v>286</v>
      </c>
      <c r="C2" s="275"/>
      <c r="D2" s="275"/>
      <c r="E2" s="275"/>
      <c r="F2" s="275"/>
      <c r="G2" s="275"/>
    </row>
    <row r="3" spans="2:15" ht="17.5" thickBot="1" x14ac:dyDescent="0.5"/>
    <row r="4" spans="2:15" ht="26" thickBot="1" x14ac:dyDescent="0.5">
      <c r="B4" s="7" t="s">
        <v>30</v>
      </c>
      <c r="C4" s="7" t="s">
        <v>3</v>
      </c>
      <c r="D4" s="7" t="s">
        <v>40</v>
      </c>
      <c r="F4" s="65" t="s">
        <v>30</v>
      </c>
      <c r="G4" s="67" t="s">
        <v>3</v>
      </c>
      <c r="I4" s="70" t="s">
        <v>130</v>
      </c>
      <c r="J4" s="71" t="s">
        <v>56</v>
      </c>
      <c r="L4" s="7" t="s">
        <v>25</v>
      </c>
      <c r="M4" s="7" t="s">
        <v>2</v>
      </c>
      <c r="N4" s="7" t="s">
        <v>7</v>
      </c>
      <c r="O4" s="7" t="s">
        <v>3</v>
      </c>
    </row>
    <row r="5" spans="2:15" x14ac:dyDescent="0.45">
      <c r="B5" s="16" t="s">
        <v>36</v>
      </c>
      <c r="C5" s="16" t="s">
        <v>31</v>
      </c>
      <c r="D5" s="16" t="s">
        <v>133</v>
      </c>
      <c r="F5" s="28" t="s">
        <v>124</v>
      </c>
      <c r="G5" s="53" t="s">
        <v>56</v>
      </c>
      <c r="I5" s="50" t="s">
        <v>161</v>
      </c>
      <c r="J5" s="72" t="s">
        <v>102</v>
      </c>
      <c r="L5" s="6">
        <v>1</v>
      </c>
      <c r="M5" s="5" t="s">
        <v>1</v>
      </c>
      <c r="N5" s="5" t="s">
        <v>1</v>
      </c>
      <c r="O5" s="5" t="s">
        <v>4</v>
      </c>
    </row>
    <row r="6" spans="2:15" x14ac:dyDescent="0.45">
      <c r="B6" s="16" t="s">
        <v>37</v>
      </c>
      <c r="C6" s="16" t="s">
        <v>32</v>
      </c>
      <c r="D6" s="16" t="s">
        <v>134</v>
      </c>
      <c r="F6" s="19" t="s">
        <v>122</v>
      </c>
      <c r="G6" s="45" t="s">
        <v>57</v>
      </c>
      <c r="I6" s="19" t="s">
        <v>162</v>
      </c>
      <c r="J6" s="73" t="s">
        <v>101</v>
      </c>
      <c r="L6" s="6">
        <v>2</v>
      </c>
      <c r="M6" s="5" t="s">
        <v>5</v>
      </c>
      <c r="N6" s="5" t="s">
        <v>5</v>
      </c>
      <c r="O6" s="5" t="s">
        <v>6</v>
      </c>
    </row>
    <row r="7" spans="2:15" x14ac:dyDescent="0.45">
      <c r="B7" s="6" t="s">
        <v>38</v>
      </c>
      <c r="C7" s="6" t="s">
        <v>33</v>
      </c>
      <c r="D7" s="81" t="s">
        <v>135</v>
      </c>
      <c r="F7" s="19" t="s">
        <v>123</v>
      </c>
      <c r="G7" s="45" t="s">
        <v>58</v>
      </c>
      <c r="I7" s="19" t="s">
        <v>163</v>
      </c>
      <c r="J7" s="73" t="s">
        <v>101</v>
      </c>
      <c r="L7" s="271">
        <v>3</v>
      </c>
      <c r="M7" s="5" t="s">
        <v>9</v>
      </c>
      <c r="N7" s="270" t="s">
        <v>8</v>
      </c>
      <c r="O7" s="5" t="s">
        <v>15</v>
      </c>
    </row>
    <row r="8" spans="2:15" ht="17.5" thickBot="1" x14ac:dyDescent="0.5">
      <c r="B8" s="6" t="s">
        <v>39</v>
      </c>
      <c r="C8" s="6" t="s">
        <v>34</v>
      </c>
      <c r="D8" s="82" t="s">
        <v>135</v>
      </c>
      <c r="F8" s="19" t="s">
        <v>60</v>
      </c>
      <c r="G8" s="45" t="s">
        <v>54</v>
      </c>
      <c r="I8" s="20" t="s">
        <v>164</v>
      </c>
      <c r="J8" s="74" t="s">
        <v>101</v>
      </c>
      <c r="L8" s="271"/>
      <c r="M8" s="5" t="s">
        <v>10</v>
      </c>
      <c r="N8" s="270"/>
      <c r="O8" s="5" t="s">
        <v>16</v>
      </c>
    </row>
    <row r="9" spans="2:15" ht="17.5" thickBot="1" x14ac:dyDescent="0.5">
      <c r="F9" s="19" t="s">
        <v>125</v>
      </c>
      <c r="G9" s="45" t="s">
        <v>13</v>
      </c>
      <c r="L9" s="271"/>
      <c r="M9" s="5" t="s">
        <v>17</v>
      </c>
      <c r="N9" s="270"/>
      <c r="O9" s="5" t="s">
        <v>18</v>
      </c>
    </row>
    <row r="10" spans="2:15" ht="17.5" thickBot="1" x14ac:dyDescent="0.5">
      <c r="F10" s="20" t="s">
        <v>61</v>
      </c>
      <c r="G10" s="47" t="s">
        <v>55</v>
      </c>
      <c r="I10" s="48" t="s">
        <v>89</v>
      </c>
      <c r="J10" s="49" t="s">
        <v>94</v>
      </c>
      <c r="L10" s="271"/>
      <c r="M10" s="5" t="s">
        <v>11</v>
      </c>
      <c r="N10" s="270"/>
      <c r="O10" s="5" t="s">
        <v>19</v>
      </c>
    </row>
    <row r="11" spans="2:15" ht="17.5" thickBot="1" x14ac:dyDescent="0.5">
      <c r="I11" s="50" t="s">
        <v>88</v>
      </c>
      <c r="J11" s="183" t="s">
        <v>63</v>
      </c>
      <c r="L11" s="6">
        <v>4</v>
      </c>
      <c r="M11" s="5" t="s">
        <v>13</v>
      </c>
      <c r="N11" s="5" t="s">
        <v>12</v>
      </c>
      <c r="O11" s="5" t="s">
        <v>20</v>
      </c>
    </row>
    <row r="12" spans="2:15" ht="17.5" thickBot="1" x14ac:dyDescent="0.5">
      <c r="B12" s="42" t="s">
        <v>103</v>
      </c>
      <c r="C12" s="43" t="s">
        <v>95</v>
      </c>
      <c r="I12" s="17" t="s">
        <v>90</v>
      </c>
      <c r="J12" s="18" t="s">
        <v>88</v>
      </c>
      <c r="L12" s="6">
        <v>5</v>
      </c>
      <c r="M12" s="5" t="s">
        <v>14</v>
      </c>
      <c r="N12" s="5" t="s">
        <v>23</v>
      </c>
      <c r="O12" s="5" t="s">
        <v>21</v>
      </c>
    </row>
    <row r="13" spans="2:15" ht="17.5" thickBot="1" x14ac:dyDescent="0.5">
      <c r="B13" s="50" t="s">
        <v>161</v>
      </c>
      <c r="C13" s="60" t="s">
        <v>90</v>
      </c>
      <c r="E13" s="30" t="s">
        <v>95</v>
      </c>
      <c r="F13" s="31" t="s">
        <v>96</v>
      </c>
      <c r="G13" s="22" t="s">
        <v>68</v>
      </c>
      <c r="I13" s="184" t="s">
        <v>195</v>
      </c>
      <c r="J13" s="18" t="s">
        <v>88</v>
      </c>
      <c r="L13" s="6">
        <v>6</v>
      </c>
      <c r="M13" s="5" t="s">
        <v>67</v>
      </c>
      <c r="N13" s="5" t="s">
        <v>22</v>
      </c>
      <c r="O13" s="5" t="s">
        <v>24</v>
      </c>
    </row>
    <row r="14" spans="2:15" x14ac:dyDescent="0.45">
      <c r="B14" s="19" t="s">
        <v>162</v>
      </c>
      <c r="C14" s="178" t="s">
        <v>195</v>
      </c>
      <c r="E14" s="130" t="s">
        <v>90</v>
      </c>
      <c r="F14" s="127" t="s">
        <v>97</v>
      </c>
      <c r="G14" s="131" t="s">
        <v>66</v>
      </c>
      <c r="H14" s="15"/>
      <c r="I14" s="17" t="s">
        <v>194</v>
      </c>
      <c r="J14" s="18" t="s">
        <v>88</v>
      </c>
      <c r="L14" s="6">
        <v>99</v>
      </c>
      <c r="M14" s="5" t="s">
        <v>64</v>
      </c>
      <c r="N14" s="14" t="s">
        <v>63</v>
      </c>
      <c r="O14" s="5" t="s">
        <v>65</v>
      </c>
    </row>
    <row r="15" spans="2:15" x14ac:dyDescent="0.45">
      <c r="B15" s="19" t="s">
        <v>163</v>
      </c>
      <c r="C15" s="178" t="s">
        <v>194</v>
      </c>
      <c r="E15" s="180" t="s">
        <v>195</v>
      </c>
      <c r="F15" s="24" t="s">
        <v>108</v>
      </c>
      <c r="G15" s="25" t="s">
        <v>0</v>
      </c>
      <c r="H15" s="15"/>
      <c r="I15" s="17" t="s">
        <v>201</v>
      </c>
      <c r="J15" s="18" t="s">
        <v>88</v>
      </c>
    </row>
    <row r="16" spans="2:15" ht="34.5" thickBot="1" x14ac:dyDescent="0.5">
      <c r="B16" s="20" t="s">
        <v>164</v>
      </c>
      <c r="C16" s="179" t="s">
        <v>201</v>
      </c>
      <c r="E16" s="181" t="s">
        <v>194</v>
      </c>
      <c r="F16" s="167" t="s">
        <v>178</v>
      </c>
      <c r="G16" s="25" t="s">
        <v>99</v>
      </c>
      <c r="H16" s="15"/>
      <c r="I16" s="17" t="s">
        <v>109</v>
      </c>
      <c r="J16" s="182" t="s">
        <v>169</v>
      </c>
    </row>
    <row r="17" spans="1:13" ht="17.5" thickBot="1" x14ac:dyDescent="0.5">
      <c r="A17" s="15"/>
      <c r="E17" s="91" t="s">
        <v>174</v>
      </c>
      <c r="F17" s="92" t="s">
        <v>173</v>
      </c>
      <c r="G17" s="27" t="s">
        <v>175</v>
      </c>
      <c r="I17" s="17" t="s">
        <v>110</v>
      </c>
      <c r="J17" s="45" t="s">
        <v>109</v>
      </c>
    </row>
    <row r="18" spans="1:13" ht="17.5" thickBot="1" x14ac:dyDescent="0.5">
      <c r="A18" s="15"/>
      <c r="I18" s="17" t="s">
        <v>111</v>
      </c>
      <c r="J18" s="45" t="s">
        <v>109</v>
      </c>
    </row>
    <row r="19" spans="1:13" ht="17.5" thickBot="1" x14ac:dyDescent="0.5">
      <c r="E19" s="37" t="s">
        <v>100</v>
      </c>
      <c r="F19" s="38" t="s">
        <v>95</v>
      </c>
      <c r="I19" s="17" t="s">
        <v>174</v>
      </c>
      <c r="J19" s="45" t="s">
        <v>109</v>
      </c>
    </row>
    <row r="20" spans="1:13" ht="17.5" thickBot="1" x14ac:dyDescent="0.5">
      <c r="E20" s="35" t="s">
        <v>102</v>
      </c>
      <c r="F20" s="36" t="s">
        <v>88</v>
      </c>
      <c r="I20" s="46" t="s">
        <v>113</v>
      </c>
      <c r="J20" s="47" t="s">
        <v>109</v>
      </c>
    </row>
    <row r="22" spans="1:13" ht="26" x14ac:dyDescent="0.45">
      <c r="B22" s="276" t="s">
        <v>193</v>
      </c>
      <c r="C22" s="276"/>
      <c r="D22" s="276"/>
      <c r="E22" s="276"/>
      <c r="F22" s="276"/>
    </row>
    <row r="23" spans="1:13" x14ac:dyDescent="0.45">
      <c r="B23" s="277" t="s">
        <v>186</v>
      </c>
      <c r="C23" s="277"/>
      <c r="D23" s="277"/>
      <c r="E23" s="277"/>
      <c r="F23" s="277"/>
      <c r="G23" s="277"/>
    </row>
    <row r="24" spans="1:13" ht="17.5" thickBot="1" x14ac:dyDescent="0.5">
      <c r="B24" s="280"/>
      <c r="C24" s="280"/>
    </row>
    <row r="25" spans="1:13" ht="17.5" thickBot="1" x14ac:dyDescent="0.5">
      <c r="B25" s="132" t="s">
        <v>41</v>
      </c>
      <c r="C25" s="94" t="s">
        <v>53</v>
      </c>
      <c r="D25" s="62" t="s">
        <v>52</v>
      </c>
      <c r="E25" s="62" t="s">
        <v>52</v>
      </c>
      <c r="F25" s="62" t="s">
        <v>52</v>
      </c>
      <c r="G25" s="62" t="s">
        <v>52</v>
      </c>
      <c r="H25" s="94" t="s">
        <v>53</v>
      </c>
      <c r="I25" s="94" t="s">
        <v>53</v>
      </c>
      <c r="J25" s="94" t="s">
        <v>53</v>
      </c>
      <c r="K25" s="63" t="s">
        <v>53</v>
      </c>
      <c r="L25" s="2"/>
      <c r="M25" s="2"/>
    </row>
    <row r="26" spans="1:13" x14ac:dyDescent="0.45">
      <c r="B26" s="95" t="s">
        <v>42</v>
      </c>
      <c r="C26" s="96" t="s">
        <v>126</v>
      </c>
      <c r="D26" s="96" t="s">
        <v>43</v>
      </c>
      <c r="E26" s="96" t="s">
        <v>48</v>
      </c>
      <c r="F26" s="96" t="s">
        <v>51</v>
      </c>
      <c r="G26" s="96" t="s">
        <v>28</v>
      </c>
      <c r="H26" s="96" t="s">
        <v>29</v>
      </c>
      <c r="I26" s="96" t="s">
        <v>120</v>
      </c>
      <c r="J26" s="97" t="s">
        <v>147</v>
      </c>
      <c r="K26" s="98" t="s">
        <v>146</v>
      </c>
      <c r="L26" s="2"/>
      <c r="M26" s="2"/>
    </row>
    <row r="27" spans="1:13" ht="17.5" thickBot="1" x14ac:dyDescent="0.5">
      <c r="B27" s="106" t="s">
        <v>86</v>
      </c>
      <c r="C27" s="78" t="s">
        <v>127</v>
      </c>
      <c r="D27" s="78" t="s">
        <v>46</v>
      </c>
      <c r="E27" s="78" t="s">
        <v>47</v>
      </c>
      <c r="F27" s="78" t="s">
        <v>50</v>
      </c>
      <c r="G27" s="78" t="s">
        <v>45</v>
      </c>
      <c r="H27" s="78" t="s">
        <v>44</v>
      </c>
      <c r="I27" s="78" t="s">
        <v>121</v>
      </c>
      <c r="J27" s="85" t="s">
        <v>148</v>
      </c>
      <c r="K27" s="86" t="s">
        <v>149</v>
      </c>
      <c r="L27" s="2"/>
      <c r="M27" s="2"/>
    </row>
    <row r="28" spans="1:13" x14ac:dyDescent="0.45">
      <c r="B28" s="126" t="s">
        <v>196</v>
      </c>
      <c r="C28" s="61" t="s">
        <v>60</v>
      </c>
      <c r="D28" s="170" t="s">
        <v>90</v>
      </c>
      <c r="E28" s="68" t="s">
        <v>190</v>
      </c>
      <c r="F28" s="68" t="s">
        <v>63</v>
      </c>
      <c r="G28" s="68" t="s">
        <v>63</v>
      </c>
      <c r="H28" s="170" t="s">
        <v>37</v>
      </c>
      <c r="I28" s="61" t="str">
        <f>CONCATENATE(IF(C28="BBS","[게시판] ",IF(C28="MNU","[권한별메뉴] ",IF(C28="GRP","[권한 그룹] ",""))),(CONCATENATE(D28,"권한 ",E28,"(",F28,")",IF(H28="ADD"," 추가"," 제거"))))</f>
        <v>[게시판] 정보화_기본권한 정보화_게시판1(-) 제거</v>
      </c>
      <c r="J28" s="128" t="s">
        <v>191</v>
      </c>
      <c r="K28" s="129" t="s">
        <v>200</v>
      </c>
      <c r="L28" s="2"/>
      <c r="M28" s="2"/>
    </row>
    <row r="29" spans="1:13" x14ac:dyDescent="0.45">
      <c r="B29" s="69" t="s">
        <v>197</v>
      </c>
      <c r="C29" s="16" t="s">
        <v>60</v>
      </c>
      <c r="D29" s="32" t="s">
        <v>194</v>
      </c>
      <c r="E29" s="58" t="s">
        <v>190</v>
      </c>
      <c r="F29" s="58" t="s">
        <v>63</v>
      </c>
      <c r="G29" s="58" t="s">
        <v>63</v>
      </c>
      <c r="H29" s="32" t="s">
        <v>36</v>
      </c>
      <c r="I29" s="16" t="str">
        <f t="shared" ref="I29:I30" si="0">CONCATENATE(IF(C29="BBS","[게시판] ",IF(C29="MNU","[권한별메뉴] ",IF(C29="GRP","[권한 그룹] ",""))),(CONCATENATE(D29,"권한 ",E29,"(",F29,")",IF(H29="ADD"," 추가"," 제거"))))</f>
        <v>[게시판] 정보화_관리자권한 정보화_게시판1(-) 추가</v>
      </c>
      <c r="J29" s="125" t="s">
        <v>191</v>
      </c>
      <c r="K29" s="143" t="s">
        <v>199</v>
      </c>
      <c r="L29" s="2"/>
      <c r="M29" s="2"/>
    </row>
    <row r="30" spans="1:13" ht="17.5" thickBot="1" x14ac:dyDescent="0.5">
      <c r="B30" s="107" t="s">
        <v>198</v>
      </c>
      <c r="C30" s="26" t="s">
        <v>60</v>
      </c>
      <c r="D30" s="79" t="s">
        <v>195</v>
      </c>
      <c r="E30" s="108" t="s">
        <v>190</v>
      </c>
      <c r="F30" s="108" t="s">
        <v>63</v>
      </c>
      <c r="G30" s="108" t="s">
        <v>63</v>
      </c>
      <c r="H30" s="79" t="s">
        <v>36</v>
      </c>
      <c r="I30" s="26" t="str">
        <f t="shared" si="0"/>
        <v>[게시판] 정보화_담당자권한 정보화_게시판1(-) 추가</v>
      </c>
      <c r="J30" s="109" t="s">
        <v>191</v>
      </c>
      <c r="K30" s="110" t="s">
        <v>140</v>
      </c>
      <c r="L30" s="2"/>
      <c r="M30" s="2"/>
    </row>
    <row r="31" spans="1:13" x14ac:dyDescent="0.45">
      <c r="B31" s="168"/>
      <c r="C31" s="9"/>
      <c r="D31" s="9"/>
      <c r="E31" s="169"/>
      <c r="F31" s="169"/>
      <c r="G31" s="169"/>
      <c r="H31" s="9"/>
      <c r="I31" s="9"/>
      <c r="J31" s="168"/>
      <c r="K31" s="168"/>
      <c r="L31" s="2"/>
      <c r="M31" s="2"/>
    </row>
    <row r="33" spans="2:11" ht="26" x14ac:dyDescent="0.45">
      <c r="B33" s="276" t="s">
        <v>181</v>
      </c>
      <c r="C33" s="276"/>
      <c r="D33" s="276"/>
      <c r="E33" s="276"/>
      <c r="F33" s="276"/>
    </row>
    <row r="34" spans="2:11" x14ac:dyDescent="0.45">
      <c r="B34" s="277" t="s">
        <v>202</v>
      </c>
      <c r="C34" s="277"/>
      <c r="D34" s="277"/>
      <c r="E34" s="277"/>
      <c r="F34" s="277"/>
      <c r="G34" s="277"/>
    </row>
    <row r="35" spans="2:11" ht="17.5" thickBot="1" x14ac:dyDescent="0.5"/>
    <row r="36" spans="2:11" ht="17.5" thickBot="1" x14ac:dyDescent="0.5">
      <c r="B36" s="132" t="s">
        <v>41</v>
      </c>
      <c r="C36" s="94" t="s">
        <v>53</v>
      </c>
      <c r="D36" s="62" t="s">
        <v>52</v>
      </c>
      <c r="E36" s="62" t="s">
        <v>52</v>
      </c>
      <c r="F36" s="62" t="s">
        <v>52</v>
      </c>
      <c r="G36" s="62" t="s">
        <v>52</v>
      </c>
      <c r="H36" s="94" t="s">
        <v>53</v>
      </c>
      <c r="I36" s="94" t="s">
        <v>53</v>
      </c>
      <c r="J36" s="94" t="s">
        <v>53</v>
      </c>
      <c r="K36" s="63" t="s">
        <v>53</v>
      </c>
    </row>
    <row r="37" spans="2:11" x14ac:dyDescent="0.45">
      <c r="B37" s="95" t="s">
        <v>42</v>
      </c>
      <c r="C37" s="96" t="s">
        <v>126</v>
      </c>
      <c r="D37" s="96" t="s">
        <v>43</v>
      </c>
      <c r="E37" s="96" t="s">
        <v>48</v>
      </c>
      <c r="F37" s="96" t="s">
        <v>51</v>
      </c>
      <c r="G37" s="96" t="s">
        <v>28</v>
      </c>
      <c r="H37" s="96" t="s">
        <v>29</v>
      </c>
      <c r="I37" s="96" t="s">
        <v>120</v>
      </c>
      <c r="J37" s="97" t="s">
        <v>147</v>
      </c>
      <c r="K37" s="98" t="s">
        <v>146</v>
      </c>
    </row>
    <row r="38" spans="2:11" ht="17.5" thickBot="1" x14ac:dyDescent="0.5">
      <c r="B38" s="106" t="s">
        <v>86</v>
      </c>
      <c r="C38" s="78" t="s">
        <v>127</v>
      </c>
      <c r="D38" s="78" t="s">
        <v>46</v>
      </c>
      <c r="E38" s="78" t="s">
        <v>47</v>
      </c>
      <c r="F38" s="78" t="s">
        <v>50</v>
      </c>
      <c r="G38" s="78" t="s">
        <v>45</v>
      </c>
      <c r="H38" s="78" t="s">
        <v>44</v>
      </c>
      <c r="I38" s="78" t="s">
        <v>121</v>
      </c>
      <c r="J38" s="85" t="s">
        <v>148</v>
      </c>
      <c r="K38" s="86" t="s">
        <v>149</v>
      </c>
    </row>
    <row r="39" spans="2:11" x14ac:dyDescent="0.45">
      <c r="B39" s="139" t="s">
        <v>129</v>
      </c>
      <c r="C39" s="140" t="s">
        <v>122</v>
      </c>
      <c r="D39" s="170" t="s">
        <v>90</v>
      </c>
      <c r="E39" s="147" t="s">
        <v>192</v>
      </c>
      <c r="F39" s="147" t="s">
        <v>63</v>
      </c>
      <c r="G39" s="140" t="s">
        <v>161</v>
      </c>
      <c r="H39" s="175" t="s">
        <v>37</v>
      </c>
      <c r="I39" s="61" t="str">
        <f>IF(OR(C39="PIC",C39="DEP",C39="EXP"),CONCATENATE(IF(C39="PIC","[담당자권한] ",IF(C39="DEP","[부서권한] ",IF(C39="EXP","[전문가권한] ",""))),G39,", ",D39,"에서 ",E39,IF(H39="ADD"," 권한 추가",""),IF(F39&lt;&gt;"","("&amp;F39&amp;")",""),IF(H39="DEL"," 권한삭제","")),"")</f>
        <v>[담당자권한] 김사원, 정보화_기본에서 정보화_게시판1(-) 권한삭제</v>
      </c>
      <c r="J39" s="128" t="s">
        <v>153</v>
      </c>
      <c r="K39" s="129" t="s">
        <v>156</v>
      </c>
    </row>
    <row r="40" spans="2:11" x14ac:dyDescent="0.45">
      <c r="B40" s="141" t="s">
        <v>129</v>
      </c>
      <c r="C40" s="142" t="s">
        <v>122</v>
      </c>
      <c r="D40" s="32" t="s">
        <v>194</v>
      </c>
      <c r="E40" s="148" t="s">
        <v>192</v>
      </c>
      <c r="F40" s="148" t="s">
        <v>63</v>
      </c>
      <c r="G40" s="142" t="s">
        <v>163</v>
      </c>
      <c r="H40" s="32" t="s">
        <v>36</v>
      </c>
      <c r="I40" s="16" t="str">
        <f t="shared" ref="I40:I41" si="1">IF(OR(C40="PIC",C40="DEP",C40="EXP"),CONCATENATE(IF(C40="PIC","[담당자권한] ",IF(C40="DEP","[부서권한] ",IF(C40="EXP","[전문가권한] ",""))),G40,", ",D40,"에서 ",E40,IF(H40="ADD"," 권한 추가",""),IF(F40&lt;&gt;"","("&amp;F40&amp;")",""),IF(H40="DEL"," 권한삭제","")),"")</f>
        <v>[담당자권한] 오부장, 정보화_관리자에서 정보화_게시판1 권한 추가(-)</v>
      </c>
      <c r="J40" s="125" t="s">
        <v>153</v>
      </c>
      <c r="K40" s="143" t="s">
        <v>156</v>
      </c>
    </row>
    <row r="41" spans="2:11" ht="17.5" thickBot="1" x14ac:dyDescent="0.5">
      <c r="B41" s="171" t="s">
        <v>128</v>
      </c>
      <c r="C41" s="172" t="s">
        <v>122</v>
      </c>
      <c r="D41" s="176" t="s">
        <v>195</v>
      </c>
      <c r="E41" s="173" t="s">
        <v>192</v>
      </c>
      <c r="F41" s="173" t="s">
        <v>63</v>
      </c>
      <c r="G41" s="56" t="s">
        <v>162</v>
      </c>
      <c r="H41" s="79" t="s">
        <v>36</v>
      </c>
      <c r="I41" s="26" t="str">
        <f t="shared" si="1"/>
        <v>[담당자권한] 권대리, 정보화_담당자에서 정보화_게시판1 권한 추가(-)</v>
      </c>
      <c r="J41" s="109" t="s">
        <v>153</v>
      </c>
      <c r="K41" s="110" t="s">
        <v>156</v>
      </c>
    </row>
    <row r="45" spans="2:11" x14ac:dyDescent="0.45">
      <c r="F45" s="124"/>
      <c r="G45" s="124"/>
    </row>
    <row r="46" spans="2:11" x14ac:dyDescent="0.45">
      <c r="F46" s="124"/>
      <c r="G46" s="124"/>
    </row>
  </sheetData>
  <mergeCells count="8">
    <mergeCell ref="B34:G34"/>
    <mergeCell ref="B24:C24"/>
    <mergeCell ref="B2:G2"/>
    <mergeCell ref="L7:L10"/>
    <mergeCell ref="N7:N10"/>
    <mergeCell ref="B22:F22"/>
    <mergeCell ref="B23:G23"/>
    <mergeCell ref="B33:F33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0"/>
  <sheetViews>
    <sheetView zoomScale="85" zoomScaleNormal="85" workbookViewId="0">
      <selection activeCell="O22" sqref="O22"/>
    </sheetView>
  </sheetViews>
  <sheetFormatPr defaultRowHeight="17" x14ac:dyDescent="0.45"/>
  <cols>
    <col min="1" max="1" width="3.58203125" customWidth="1"/>
    <col min="2" max="2" width="23.1640625" bestFit="1" customWidth="1"/>
    <col min="3" max="3" width="22.25" bestFit="1" customWidth="1"/>
    <col min="4" max="4" width="22.08203125" bestFit="1" customWidth="1"/>
    <col min="5" max="5" width="19.75" bestFit="1" customWidth="1"/>
    <col min="6" max="6" width="25.1640625" bestFit="1" customWidth="1"/>
    <col min="7" max="7" width="29.5" bestFit="1" customWidth="1"/>
    <col min="8" max="8" width="14.9140625" bestFit="1" customWidth="1"/>
    <col min="9" max="9" width="51.6640625" bestFit="1" customWidth="1"/>
    <col min="10" max="10" width="15" bestFit="1" customWidth="1"/>
    <col min="11" max="11" width="26.83203125" bestFit="1" customWidth="1"/>
    <col min="12" max="12" width="5.75" bestFit="1" customWidth="1"/>
    <col min="13" max="13" width="28.33203125" bestFit="1" customWidth="1"/>
    <col min="14" max="14" width="17.75" bestFit="1" customWidth="1"/>
    <col min="15" max="15" width="38" bestFit="1" customWidth="1"/>
  </cols>
  <sheetData>
    <row r="2" spans="2:15" ht="30" x14ac:dyDescent="0.45">
      <c r="B2" s="275" t="s">
        <v>287</v>
      </c>
      <c r="C2" s="275"/>
      <c r="D2" s="275"/>
      <c r="E2" s="275"/>
      <c r="F2" s="275"/>
      <c r="G2" s="275"/>
    </row>
    <row r="3" spans="2:15" ht="17.5" thickBot="1" x14ac:dyDescent="0.5"/>
    <row r="4" spans="2:15" ht="26" thickBot="1" x14ac:dyDescent="0.5">
      <c r="B4" s="7" t="s">
        <v>30</v>
      </c>
      <c r="C4" s="7" t="s">
        <v>3</v>
      </c>
      <c r="D4" s="7" t="s">
        <v>40</v>
      </c>
      <c r="F4" s="65" t="s">
        <v>30</v>
      </c>
      <c r="G4" s="67" t="s">
        <v>3</v>
      </c>
      <c r="I4" s="70" t="s">
        <v>130</v>
      </c>
      <c r="J4" s="71" t="s">
        <v>56</v>
      </c>
      <c r="L4" s="7" t="s">
        <v>25</v>
      </c>
      <c r="M4" s="7" t="s">
        <v>2</v>
      </c>
      <c r="N4" s="7" t="s">
        <v>7</v>
      </c>
      <c r="O4" s="7" t="s">
        <v>3</v>
      </c>
    </row>
    <row r="5" spans="2:15" x14ac:dyDescent="0.45">
      <c r="B5" s="16" t="s">
        <v>36</v>
      </c>
      <c r="C5" s="16" t="s">
        <v>31</v>
      </c>
      <c r="D5" s="16" t="s">
        <v>133</v>
      </c>
      <c r="F5" s="28" t="s">
        <v>124</v>
      </c>
      <c r="G5" s="53" t="s">
        <v>56</v>
      </c>
      <c r="I5" s="50" t="s">
        <v>161</v>
      </c>
      <c r="J5" s="72" t="s">
        <v>102</v>
      </c>
      <c r="L5" s="6">
        <v>1</v>
      </c>
      <c r="M5" s="5" t="s">
        <v>1</v>
      </c>
      <c r="N5" s="5" t="s">
        <v>1</v>
      </c>
      <c r="O5" s="5" t="s">
        <v>4</v>
      </c>
    </row>
    <row r="6" spans="2:15" x14ac:dyDescent="0.45">
      <c r="B6" s="16" t="s">
        <v>37</v>
      </c>
      <c r="C6" s="16" t="s">
        <v>32</v>
      </c>
      <c r="D6" s="16" t="s">
        <v>134</v>
      </c>
      <c r="F6" s="19" t="s">
        <v>122</v>
      </c>
      <c r="G6" s="45" t="s">
        <v>57</v>
      </c>
      <c r="I6" s="19" t="s">
        <v>162</v>
      </c>
      <c r="J6" s="73" t="s">
        <v>101</v>
      </c>
      <c r="L6" s="6">
        <v>2</v>
      </c>
      <c r="M6" s="5" t="s">
        <v>5</v>
      </c>
      <c r="N6" s="5" t="s">
        <v>5</v>
      </c>
      <c r="O6" s="5" t="s">
        <v>6</v>
      </c>
    </row>
    <row r="7" spans="2:15" x14ac:dyDescent="0.45">
      <c r="B7" s="6" t="s">
        <v>38</v>
      </c>
      <c r="C7" s="6" t="s">
        <v>33</v>
      </c>
      <c r="D7" s="81" t="s">
        <v>135</v>
      </c>
      <c r="F7" s="19" t="s">
        <v>123</v>
      </c>
      <c r="G7" s="45" t="s">
        <v>58</v>
      </c>
      <c r="I7" s="19" t="s">
        <v>163</v>
      </c>
      <c r="J7" s="73" t="s">
        <v>101</v>
      </c>
      <c r="L7" s="271">
        <v>3</v>
      </c>
      <c r="M7" s="5" t="s">
        <v>9</v>
      </c>
      <c r="N7" s="270" t="s">
        <v>8</v>
      </c>
      <c r="O7" s="5" t="s">
        <v>15</v>
      </c>
    </row>
    <row r="8" spans="2:15" ht="17.5" thickBot="1" x14ac:dyDescent="0.5">
      <c r="B8" s="6" t="s">
        <v>39</v>
      </c>
      <c r="C8" s="6" t="s">
        <v>34</v>
      </c>
      <c r="D8" s="82" t="s">
        <v>135</v>
      </c>
      <c r="F8" s="19" t="s">
        <v>60</v>
      </c>
      <c r="G8" s="45" t="s">
        <v>54</v>
      </c>
      <c r="I8" s="20" t="s">
        <v>164</v>
      </c>
      <c r="J8" s="74" t="s">
        <v>101</v>
      </c>
      <c r="L8" s="271"/>
      <c r="M8" s="5" t="s">
        <v>10</v>
      </c>
      <c r="N8" s="270"/>
      <c r="O8" s="5" t="s">
        <v>16</v>
      </c>
    </row>
    <row r="9" spans="2:15" ht="17.5" thickBot="1" x14ac:dyDescent="0.5">
      <c r="F9" s="19" t="s">
        <v>125</v>
      </c>
      <c r="G9" s="45" t="s">
        <v>13</v>
      </c>
      <c r="L9" s="271"/>
      <c r="M9" s="5" t="s">
        <v>17</v>
      </c>
      <c r="N9" s="270"/>
      <c r="O9" s="5" t="s">
        <v>18</v>
      </c>
    </row>
    <row r="10" spans="2:15" ht="17.5" thickBot="1" x14ac:dyDescent="0.5">
      <c r="F10" s="20" t="s">
        <v>61</v>
      </c>
      <c r="G10" s="47" t="s">
        <v>55</v>
      </c>
      <c r="I10" s="48" t="s">
        <v>89</v>
      </c>
      <c r="J10" s="49" t="s">
        <v>94</v>
      </c>
      <c r="L10" s="271"/>
      <c r="M10" s="5" t="s">
        <v>11</v>
      </c>
      <c r="N10" s="270"/>
      <c r="O10" s="5" t="s">
        <v>19</v>
      </c>
    </row>
    <row r="11" spans="2:15" ht="17.5" thickBot="1" x14ac:dyDescent="0.5">
      <c r="I11" s="188" t="s">
        <v>88</v>
      </c>
      <c r="J11" s="183" t="s">
        <v>63</v>
      </c>
      <c r="L11" s="6">
        <v>4</v>
      </c>
      <c r="M11" s="5" t="s">
        <v>13</v>
      </c>
      <c r="N11" s="5" t="s">
        <v>12</v>
      </c>
      <c r="O11" s="5" t="s">
        <v>20</v>
      </c>
    </row>
    <row r="12" spans="2:15" ht="17.5" thickBot="1" x14ac:dyDescent="0.5">
      <c r="B12" s="42" t="s">
        <v>103</v>
      </c>
      <c r="C12" s="43" t="s">
        <v>95</v>
      </c>
      <c r="I12" s="185" t="s">
        <v>90</v>
      </c>
      <c r="J12" s="187" t="s">
        <v>88</v>
      </c>
      <c r="L12" s="6">
        <v>5</v>
      </c>
      <c r="M12" s="5" t="s">
        <v>14</v>
      </c>
      <c r="N12" s="5" t="s">
        <v>23</v>
      </c>
      <c r="O12" s="5" t="s">
        <v>21</v>
      </c>
    </row>
    <row r="13" spans="2:15" ht="17.5" thickBot="1" x14ac:dyDescent="0.5">
      <c r="B13" s="50" t="s">
        <v>161</v>
      </c>
      <c r="C13" s="60" t="s">
        <v>90</v>
      </c>
      <c r="E13" s="30" t="s">
        <v>95</v>
      </c>
      <c r="F13" s="31" t="s">
        <v>96</v>
      </c>
      <c r="G13" s="22" t="s">
        <v>68</v>
      </c>
      <c r="I13" s="186" t="s">
        <v>195</v>
      </c>
      <c r="J13" s="187" t="s">
        <v>88</v>
      </c>
      <c r="L13" s="6">
        <v>6</v>
      </c>
      <c r="M13" s="5" t="s">
        <v>67</v>
      </c>
      <c r="N13" s="5" t="s">
        <v>22</v>
      </c>
      <c r="O13" s="5" t="s">
        <v>24</v>
      </c>
    </row>
    <row r="14" spans="2:15" x14ac:dyDescent="0.45">
      <c r="B14" s="19" t="s">
        <v>162</v>
      </c>
      <c r="C14" s="178" t="s">
        <v>195</v>
      </c>
      <c r="E14" s="130" t="s">
        <v>90</v>
      </c>
      <c r="F14" s="127" t="s">
        <v>97</v>
      </c>
      <c r="G14" s="131" t="s">
        <v>66</v>
      </c>
      <c r="H14" s="15"/>
      <c r="I14" s="185" t="s">
        <v>194</v>
      </c>
      <c r="J14" s="187" t="s">
        <v>88</v>
      </c>
      <c r="L14" s="6">
        <v>99</v>
      </c>
      <c r="M14" s="5" t="s">
        <v>64</v>
      </c>
      <c r="N14" s="14" t="s">
        <v>63</v>
      </c>
      <c r="O14" s="5" t="s">
        <v>65</v>
      </c>
    </row>
    <row r="15" spans="2:15" x14ac:dyDescent="0.45">
      <c r="B15" s="19" t="s">
        <v>163</v>
      </c>
      <c r="C15" s="178" t="s">
        <v>194</v>
      </c>
      <c r="E15" s="180" t="s">
        <v>195</v>
      </c>
      <c r="F15" s="24" t="s">
        <v>108</v>
      </c>
      <c r="G15" s="25" t="s">
        <v>0</v>
      </c>
      <c r="H15" s="15"/>
      <c r="I15" s="185" t="s">
        <v>201</v>
      </c>
      <c r="J15" s="187" t="s">
        <v>88</v>
      </c>
    </row>
    <row r="16" spans="2:15" ht="34.5" thickBot="1" x14ac:dyDescent="0.5">
      <c r="B16" s="20" t="s">
        <v>164</v>
      </c>
      <c r="C16" s="179" t="s">
        <v>201</v>
      </c>
      <c r="E16" s="181" t="s">
        <v>194</v>
      </c>
      <c r="F16" s="167" t="s">
        <v>178</v>
      </c>
      <c r="G16" s="25" t="s">
        <v>99</v>
      </c>
      <c r="H16" s="15"/>
      <c r="I16" s="17" t="s">
        <v>109</v>
      </c>
      <c r="J16" s="182" t="s">
        <v>169</v>
      </c>
    </row>
    <row r="17" spans="1:13" ht="17.5" thickBot="1" x14ac:dyDescent="0.5">
      <c r="A17" s="15"/>
      <c r="E17" s="91" t="s">
        <v>174</v>
      </c>
      <c r="F17" s="92" t="s">
        <v>173</v>
      </c>
      <c r="G17" s="27" t="s">
        <v>175</v>
      </c>
      <c r="I17" s="17" t="s">
        <v>110</v>
      </c>
      <c r="J17" s="45" t="s">
        <v>109</v>
      </c>
    </row>
    <row r="18" spans="1:13" ht="17.5" thickBot="1" x14ac:dyDescent="0.5">
      <c r="A18" s="15"/>
      <c r="I18" s="17" t="s">
        <v>111</v>
      </c>
      <c r="J18" s="45" t="s">
        <v>109</v>
      </c>
    </row>
    <row r="19" spans="1:13" ht="17.5" thickBot="1" x14ac:dyDescent="0.5">
      <c r="E19" s="37" t="s">
        <v>100</v>
      </c>
      <c r="F19" s="38" t="s">
        <v>95</v>
      </c>
      <c r="I19" s="17" t="s">
        <v>174</v>
      </c>
      <c r="J19" s="45" t="s">
        <v>109</v>
      </c>
    </row>
    <row r="20" spans="1:13" ht="17.5" thickBot="1" x14ac:dyDescent="0.5">
      <c r="E20" s="35" t="s">
        <v>102</v>
      </c>
      <c r="F20" s="36" t="s">
        <v>88</v>
      </c>
      <c r="I20" s="46" t="s">
        <v>113</v>
      </c>
      <c r="J20" s="47" t="s">
        <v>109</v>
      </c>
    </row>
    <row r="22" spans="1:13" ht="26" x14ac:dyDescent="0.45">
      <c r="B22" s="276" t="s">
        <v>203</v>
      </c>
      <c r="C22" s="276"/>
      <c r="D22" s="276"/>
      <c r="E22" s="276"/>
      <c r="F22" s="276"/>
    </row>
    <row r="23" spans="1:13" ht="17.5" thickBot="1" x14ac:dyDescent="0.5">
      <c r="B23" s="280"/>
      <c r="C23" s="280"/>
    </row>
    <row r="24" spans="1:13" ht="17.5" thickBot="1" x14ac:dyDescent="0.5">
      <c r="B24" s="132" t="s">
        <v>41</v>
      </c>
      <c r="C24" s="94" t="s">
        <v>53</v>
      </c>
      <c r="D24" s="62" t="s">
        <v>52</v>
      </c>
      <c r="E24" s="62" t="s">
        <v>52</v>
      </c>
      <c r="F24" s="62" t="s">
        <v>52</v>
      </c>
      <c r="G24" s="62" t="s">
        <v>52</v>
      </c>
      <c r="H24" s="94" t="s">
        <v>53</v>
      </c>
      <c r="I24" s="94" t="s">
        <v>53</v>
      </c>
      <c r="J24" s="94" t="s">
        <v>53</v>
      </c>
      <c r="K24" s="63" t="s">
        <v>53</v>
      </c>
      <c r="L24" s="2"/>
      <c r="M24" s="2"/>
    </row>
    <row r="25" spans="1:13" x14ac:dyDescent="0.45">
      <c r="B25" s="95" t="s">
        <v>42</v>
      </c>
      <c r="C25" s="96" t="s">
        <v>126</v>
      </c>
      <c r="D25" s="96" t="s">
        <v>43</v>
      </c>
      <c r="E25" s="96" t="s">
        <v>48</v>
      </c>
      <c r="F25" s="96" t="s">
        <v>51</v>
      </c>
      <c r="G25" s="96" t="s">
        <v>28</v>
      </c>
      <c r="H25" s="96" t="s">
        <v>29</v>
      </c>
      <c r="I25" s="96" t="s">
        <v>120</v>
      </c>
      <c r="J25" s="97" t="s">
        <v>147</v>
      </c>
      <c r="K25" s="98" t="s">
        <v>146</v>
      </c>
      <c r="L25" s="2"/>
      <c r="M25" s="2"/>
    </row>
    <row r="26" spans="1:13" ht="17.5" thickBot="1" x14ac:dyDescent="0.5">
      <c r="B26" s="106" t="s">
        <v>86</v>
      </c>
      <c r="C26" s="78" t="s">
        <v>127</v>
      </c>
      <c r="D26" s="78" t="s">
        <v>46</v>
      </c>
      <c r="E26" s="78" t="s">
        <v>47</v>
      </c>
      <c r="F26" s="78" t="s">
        <v>50</v>
      </c>
      <c r="G26" s="78" t="s">
        <v>45</v>
      </c>
      <c r="H26" s="78" t="s">
        <v>44</v>
      </c>
      <c r="I26" s="78" t="s">
        <v>121</v>
      </c>
      <c r="J26" s="85" t="s">
        <v>148</v>
      </c>
      <c r="K26" s="86" t="s">
        <v>149</v>
      </c>
      <c r="L26" s="2"/>
      <c r="M26" s="2"/>
    </row>
    <row r="27" spans="1:13" x14ac:dyDescent="0.45">
      <c r="B27" s="126" t="s">
        <v>196</v>
      </c>
      <c r="C27" s="61" t="s">
        <v>61</v>
      </c>
      <c r="D27" s="170" t="s">
        <v>88</v>
      </c>
      <c r="E27" s="68" t="s">
        <v>63</v>
      </c>
      <c r="F27" s="68" t="s">
        <v>63</v>
      </c>
      <c r="G27" s="68" t="s">
        <v>63</v>
      </c>
      <c r="H27" s="170" t="s">
        <v>39</v>
      </c>
      <c r="I27" s="61" t="str">
        <f>CONCATENATE(IF(C27="BBS","[게시판] ",IF(C27="MNU","[권한별메뉴] ",IF(C27="GRP","[권한 그룹] ",""))),(CONCATENATE(D27,"권한 ",IF(C27&lt;&gt;"GRP",E27,""),IF(H27="ADD"," 추가",IF(H27="DEL"," 제거",IF(H27="USE","사용","미사용"))))))</f>
        <v>[권한 그룹] GRP_정보화팀권한 미사용</v>
      </c>
      <c r="J27" s="128" t="s">
        <v>204</v>
      </c>
      <c r="K27" s="129" t="s">
        <v>200</v>
      </c>
      <c r="L27" s="2"/>
      <c r="M27" s="2"/>
    </row>
    <row r="28" spans="1:13" x14ac:dyDescent="0.45">
      <c r="B28" s="69" t="s">
        <v>197</v>
      </c>
      <c r="C28" s="16" t="s">
        <v>61</v>
      </c>
      <c r="D28" s="32" t="s">
        <v>205</v>
      </c>
      <c r="E28" s="58" t="s">
        <v>63</v>
      </c>
      <c r="F28" s="58" t="s">
        <v>63</v>
      </c>
      <c r="G28" s="58" t="s">
        <v>63</v>
      </c>
      <c r="H28" s="32" t="s">
        <v>38</v>
      </c>
      <c r="I28" s="16" t="str">
        <f t="shared" ref="I28:I29" si="0">CONCATENATE(IF(C28="BBS","[게시판] ",IF(C28="MNU","[권한별메뉴] ",IF(C28="GRP","[권한 그룹] ",""))),(CONCATENATE(D28,"권한 ",IF(C28&lt;&gt;"GRP",E28,""),IF(H28="ADD"," 추가",IF(H28="DEL"," 제거",IF(H28="USE","사용","미사용"))))))</f>
        <v>[권한 그룹] GRP_DUR팀권한 사용</v>
      </c>
      <c r="J28" s="125" t="s">
        <v>204</v>
      </c>
      <c r="K28" s="143" t="s">
        <v>199</v>
      </c>
      <c r="L28" s="2"/>
      <c r="M28" s="2"/>
    </row>
    <row r="29" spans="1:13" ht="17.5" thickBot="1" x14ac:dyDescent="0.5">
      <c r="B29" s="107" t="s">
        <v>198</v>
      </c>
      <c r="C29" s="26" t="s">
        <v>61</v>
      </c>
      <c r="D29" s="79" t="s">
        <v>206</v>
      </c>
      <c r="E29" s="108" t="s">
        <v>63</v>
      </c>
      <c r="F29" s="108" t="s">
        <v>63</v>
      </c>
      <c r="G29" s="108" t="s">
        <v>63</v>
      </c>
      <c r="H29" s="79" t="s">
        <v>38</v>
      </c>
      <c r="I29" s="26" t="str">
        <f t="shared" si="0"/>
        <v>[권한 그룹] GRP_신규권한그룹권한 사용</v>
      </c>
      <c r="J29" s="109" t="s">
        <v>204</v>
      </c>
      <c r="K29" s="110" t="s">
        <v>140</v>
      </c>
      <c r="L29" s="2"/>
      <c r="M29" s="2"/>
    </row>
    <row r="30" spans="1:13" x14ac:dyDescent="0.45">
      <c r="B30" s="168"/>
      <c r="C30" s="9"/>
      <c r="D30" s="9"/>
      <c r="E30" s="169"/>
      <c r="F30" s="169"/>
      <c r="G30" s="169"/>
      <c r="H30" s="9"/>
      <c r="I30" s="9"/>
      <c r="J30" s="168"/>
      <c r="K30" s="168"/>
      <c r="L30" s="2"/>
      <c r="M30" s="2"/>
    </row>
    <row r="32" spans="1:13" ht="26" x14ac:dyDescent="0.45">
      <c r="B32" s="276" t="s">
        <v>207</v>
      </c>
      <c r="C32" s="276"/>
      <c r="D32" s="276"/>
      <c r="E32" s="276"/>
      <c r="F32" s="276"/>
    </row>
    <row r="33" spans="2:11" ht="17.5" thickBot="1" x14ac:dyDescent="0.5"/>
    <row r="34" spans="2:11" ht="17.5" thickBot="1" x14ac:dyDescent="0.5">
      <c r="B34" s="132" t="s">
        <v>41</v>
      </c>
      <c r="C34" s="94" t="s">
        <v>53</v>
      </c>
      <c r="D34" s="62" t="s">
        <v>52</v>
      </c>
      <c r="E34" s="62" t="s">
        <v>52</v>
      </c>
      <c r="F34" s="62" t="s">
        <v>52</v>
      </c>
      <c r="G34" s="62" t="s">
        <v>52</v>
      </c>
      <c r="H34" s="94" t="s">
        <v>53</v>
      </c>
      <c r="I34" s="94" t="s">
        <v>53</v>
      </c>
      <c r="J34" s="94" t="s">
        <v>53</v>
      </c>
      <c r="K34" s="63" t="s">
        <v>53</v>
      </c>
    </row>
    <row r="35" spans="2:11" x14ac:dyDescent="0.45">
      <c r="B35" s="95" t="s">
        <v>42</v>
      </c>
      <c r="C35" s="96" t="s">
        <v>126</v>
      </c>
      <c r="D35" s="96" t="s">
        <v>43</v>
      </c>
      <c r="E35" s="96" t="s">
        <v>48</v>
      </c>
      <c r="F35" s="96" t="s">
        <v>51</v>
      </c>
      <c r="G35" s="96" t="s">
        <v>28</v>
      </c>
      <c r="H35" s="96" t="s">
        <v>29</v>
      </c>
      <c r="I35" s="96" t="s">
        <v>120</v>
      </c>
      <c r="J35" s="97" t="s">
        <v>147</v>
      </c>
      <c r="K35" s="98" t="s">
        <v>146</v>
      </c>
    </row>
    <row r="36" spans="2:11" ht="17.5" thickBot="1" x14ac:dyDescent="0.5">
      <c r="B36" s="106" t="s">
        <v>86</v>
      </c>
      <c r="C36" s="78" t="s">
        <v>127</v>
      </c>
      <c r="D36" s="78" t="s">
        <v>46</v>
      </c>
      <c r="E36" s="78" t="s">
        <v>47</v>
      </c>
      <c r="F36" s="78" t="s">
        <v>50</v>
      </c>
      <c r="G36" s="78" t="s">
        <v>45</v>
      </c>
      <c r="H36" s="78" t="s">
        <v>44</v>
      </c>
      <c r="I36" s="78" t="s">
        <v>121</v>
      </c>
      <c r="J36" s="85" t="s">
        <v>148</v>
      </c>
      <c r="K36" s="86" t="s">
        <v>149</v>
      </c>
    </row>
    <row r="37" spans="2:11" x14ac:dyDescent="0.45">
      <c r="B37" s="139" t="s">
        <v>129</v>
      </c>
      <c r="C37" s="140" t="s">
        <v>122</v>
      </c>
      <c r="D37" s="170" t="s">
        <v>90</v>
      </c>
      <c r="E37" s="147" t="s">
        <v>63</v>
      </c>
      <c r="F37" s="147" t="s">
        <v>63</v>
      </c>
      <c r="G37" s="61" t="s">
        <v>161</v>
      </c>
      <c r="H37" s="175" t="s">
        <v>37</v>
      </c>
      <c r="I37" s="61" t="str">
        <f>IF(OR(C37="PIC",C37="DEP",C37="EXP"),CONCATENATE(IF(C37="PIC","[담당자권한] ",IF(C37="DEP","[부서권한] ",IF(C37="EXP","[전문가권한] ",""))),G37,", ",D37,E37,IF(H37="ADD"," 권한 사용",""),IF(F37&lt;&gt;"","("&amp;F37&amp;")",""),IF(H37="DEL"," 권한 미사용","")),"")</f>
        <v>[담당자권한] 김사원, 정보화_기본-(-) 권한 미사용</v>
      </c>
      <c r="J37" s="128" t="s">
        <v>153</v>
      </c>
      <c r="K37" s="129" t="s">
        <v>156</v>
      </c>
    </row>
    <row r="38" spans="2:11" x14ac:dyDescent="0.45">
      <c r="B38" s="141" t="s">
        <v>208</v>
      </c>
      <c r="C38" s="142" t="s">
        <v>122</v>
      </c>
      <c r="D38" s="177" t="s">
        <v>194</v>
      </c>
      <c r="E38" s="148" t="s">
        <v>63</v>
      </c>
      <c r="F38" s="148" t="s">
        <v>63</v>
      </c>
      <c r="G38" s="6" t="s">
        <v>162</v>
      </c>
      <c r="H38" s="174" t="s">
        <v>37</v>
      </c>
      <c r="I38" s="16" t="str">
        <f t="shared" ref="I38:I46" si="1">IF(OR(C38="PIC",C38="DEP",C38="EXP"),CONCATENATE(IF(C38="PIC","[담당자권한] ",IF(C38="DEP","[부서권한] ",IF(C38="EXP","[전문가권한] ",""))),G38,", ",D38,E38,IF(H38="ADD"," 권한 사용",""),IF(F38&lt;&gt;"","("&amp;F38&amp;")",""),IF(H38="DEL"," 권한 미사용","")),"")</f>
        <v>[담당자권한] 권대리, 정보화_관리자-(-) 권한 미사용</v>
      </c>
      <c r="J38" s="125" t="s">
        <v>153</v>
      </c>
      <c r="K38" s="143" t="s">
        <v>156</v>
      </c>
    </row>
    <row r="39" spans="2:11" x14ac:dyDescent="0.45">
      <c r="B39" s="141" t="s">
        <v>209</v>
      </c>
      <c r="C39" s="142" t="s">
        <v>122</v>
      </c>
      <c r="D39" s="174" t="s">
        <v>195</v>
      </c>
      <c r="E39" s="148" t="s">
        <v>63</v>
      </c>
      <c r="F39" s="148" t="s">
        <v>63</v>
      </c>
      <c r="G39" s="6" t="s">
        <v>163</v>
      </c>
      <c r="H39" s="174" t="s">
        <v>37</v>
      </c>
      <c r="I39" s="16" t="str">
        <f t="shared" si="1"/>
        <v>[담당자권한] 오부장, 정보화_담당자-(-) 권한 미사용</v>
      </c>
      <c r="J39" s="125" t="s">
        <v>153</v>
      </c>
      <c r="K39" s="143" t="s">
        <v>156</v>
      </c>
    </row>
    <row r="40" spans="2:11" x14ac:dyDescent="0.45">
      <c r="B40" s="141" t="s">
        <v>118</v>
      </c>
      <c r="C40" s="142" t="s">
        <v>122</v>
      </c>
      <c r="D40" s="177" t="s">
        <v>201</v>
      </c>
      <c r="E40" s="148" t="s">
        <v>63</v>
      </c>
      <c r="F40" s="148" t="s">
        <v>63</v>
      </c>
      <c r="G40" s="6" t="s">
        <v>164</v>
      </c>
      <c r="H40" s="174" t="s">
        <v>37</v>
      </c>
      <c r="I40" s="16" t="str">
        <f t="shared" si="1"/>
        <v>[담당자권한] 안차장, 정보화_최고관리자-(-) 권한 미사용</v>
      </c>
      <c r="J40" s="125" t="s">
        <v>153</v>
      </c>
      <c r="K40" s="143" t="s">
        <v>156</v>
      </c>
    </row>
    <row r="41" spans="2:11" x14ac:dyDescent="0.45">
      <c r="B41" s="141" t="s">
        <v>117</v>
      </c>
      <c r="C41" s="142" t="s">
        <v>122</v>
      </c>
      <c r="D41" s="32" t="s">
        <v>215</v>
      </c>
      <c r="E41" s="148" t="s">
        <v>63</v>
      </c>
      <c r="F41" s="148" t="s">
        <v>63</v>
      </c>
      <c r="G41" s="6" t="s">
        <v>218</v>
      </c>
      <c r="H41" s="32" t="s">
        <v>36</v>
      </c>
      <c r="I41" s="16" t="str">
        <f t="shared" si="1"/>
        <v>[담당자권한] 유사원, DUR_기본- 권한 사용(-)</v>
      </c>
      <c r="J41" s="125" t="s">
        <v>153</v>
      </c>
      <c r="K41" s="143" t="s">
        <v>156</v>
      </c>
    </row>
    <row r="42" spans="2:11" x14ac:dyDescent="0.45">
      <c r="B42" s="141" t="s">
        <v>210</v>
      </c>
      <c r="C42" s="142" t="s">
        <v>122</v>
      </c>
      <c r="D42" s="32" t="s">
        <v>216</v>
      </c>
      <c r="E42" s="148" t="s">
        <v>63</v>
      </c>
      <c r="F42" s="148" t="s">
        <v>63</v>
      </c>
      <c r="G42" s="6" t="s">
        <v>219</v>
      </c>
      <c r="H42" s="32" t="s">
        <v>36</v>
      </c>
      <c r="I42" s="16" t="str">
        <f t="shared" si="1"/>
        <v>[담당자권한] 유담당, DUR_담당자- 권한 사용(-)</v>
      </c>
      <c r="J42" s="125" t="s">
        <v>153</v>
      </c>
      <c r="K42" s="143" t="s">
        <v>156</v>
      </c>
    </row>
    <row r="43" spans="2:11" x14ac:dyDescent="0.45">
      <c r="B43" s="141" t="s">
        <v>211</v>
      </c>
      <c r="C43" s="142" t="s">
        <v>122</v>
      </c>
      <c r="D43" s="32" t="s">
        <v>216</v>
      </c>
      <c r="E43" s="148" t="s">
        <v>63</v>
      </c>
      <c r="F43" s="148" t="s">
        <v>63</v>
      </c>
      <c r="G43" s="6" t="s">
        <v>220</v>
      </c>
      <c r="H43" s="32" t="s">
        <v>36</v>
      </c>
      <c r="I43" s="16" t="str">
        <f t="shared" si="1"/>
        <v>[담당자권한] 유당담, DUR_담당자- 권한 사용(-)</v>
      </c>
      <c r="J43" s="125" t="s">
        <v>153</v>
      </c>
      <c r="K43" s="143" t="s">
        <v>156</v>
      </c>
    </row>
    <row r="44" spans="2:11" x14ac:dyDescent="0.45">
      <c r="B44" s="141" t="s">
        <v>212</v>
      </c>
      <c r="C44" s="142" t="s">
        <v>122</v>
      </c>
      <c r="D44" s="32" t="s">
        <v>217</v>
      </c>
      <c r="E44" s="148" t="s">
        <v>63</v>
      </c>
      <c r="F44" s="148" t="s">
        <v>63</v>
      </c>
      <c r="G44" s="6" t="s">
        <v>221</v>
      </c>
      <c r="H44" s="32" t="s">
        <v>36</v>
      </c>
      <c r="I44" s="16" t="str">
        <f t="shared" si="1"/>
        <v>[담당자권한] 유관리, DUR_관리자- 권한 사용(-)</v>
      </c>
      <c r="J44" s="125" t="s">
        <v>153</v>
      </c>
      <c r="K44" s="143" t="s">
        <v>156</v>
      </c>
    </row>
    <row r="45" spans="2:11" x14ac:dyDescent="0.45">
      <c r="B45" s="141" t="s">
        <v>213</v>
      </c>
      <c r="C45" s="142" t="s">
        <v>122</v>
      </c>
      <c r="D45" s="32" t="s">
        <v>222</v>
      </c>
      <c r="E45" s="148" t="s">
        <v>63</v>
      </c>
      <c r="F45" s="148" t="s">
        <v>63</v>
      </c>
      <c r="G45" s="6" t="s">
        <v>229</v>
      </c>
      <c r="H45" s="32" t="s">
        <v>36</v>
      </c>
      <c r="I45" s="16" t="str">
        <f t="shared" si="1"/>
        <v>[담당자권한] 신사원, 신규_기본- 권한 사용(-)</v>
      </c>
      <c r="J45" s="125" t="s">
        <v>153</v>
      </c>
      <c r="K45" s="143" t="s">
        <v>156</v>
      </c>
    </row>
    <row r="46" spans="2:11" x14ac:dyDescent="0.45">
      <c r="B46" s="141" t="s">
        <v>214</v>
      </c>
      <c r="C46" s="142" t="s">
        <v>122</v>
      </c>
      <c r="D46" s="32" t="s">
        <v>223</v>
      </c>
      <c r="E46" s="148" t="s">
        <v>63</v>
      </c>
      <c r="F46" s="148" t="s">
        <v>63</v>
      </c>
      <c r="G46" s="6" t="s">
        <v>230</v>
      </c>
      <c r="H46" s="32" t="s">
        <v>36</v>
      </c>
      <c r="I46" s="16" t="str">
        <f t="shared" si="1"/>
        <v>[담당자권한] 신담당, 신규_담당자- 권한 사용(-)</v>
      </c>
      <c r="J46" s="125" t="s">
        <v>153</v>
      </c>
      <c r="K46" s="143" t="s">
        <v>156</v>
      </c>
    </row>
    <row r="47" spans="2:11" x14ac:dyDescent="0.45">
      <c r="B47" s="141" t="s">
        <v>225</v>
      </c>
      <c r="C47" s="142" t="s">
        <v>122</v>
      </c>
      <c r="D47" s="32" t="s">
        <v>223</v>
      </c>
      <c r="E47" s="148" t="s">
        <v>63</v>
      </c>
      <c r="F47" s="148" t="s">
        <v>63</v>
      </c>
      <c r="G47" s="6" t="s">
        <v>231</v>
      </c>
      <c r="H47" s="32" t="s">
        <v>36</v>
      </c>
      <c r="I47" s="16" t="str">
        <f t="shared" ref="I47:I50" si="2">IF(OR(C47="PIC",C47="DEP",C47="EXP"),CONCATENATE(IF(C47="PIC","[담당자권한] ",IF(C47="DEP","[부서권한] ",IF(C47="EXP","[전문가권한] ",""))),G47,", ",D47,E47,IF(H47="ADD"," 권한 사용",""),IF(F47&lt;&gt;"","("&amp;F47&amp;")",""),IF(H47="DEL"," 권한 미사용","")),"")</f>
        <v>[담당자권한] 심당담, 신규_담당자- 권한 사용(-)</v>
      </c>
      <c r="J47" s="125" t="s">
        <v>153</v>
      </c>
      <c r="K47" s="143" t="s">
        <v>156</v>
      </c>
    </row>
    <row r="48" spans="2:11" x14ac:dyDescent="0.45">
      <c r="B48" s="141" t="s">
        <v>226</v>
      </c>
      <c r="C48" s="142" t="s">
        <v>122</v>
      </c>
      <c r="D48" s="32" t="s">
        <v>223</v>
      </c>
      <c r="E48" s="148" t="s">
        <v>63</v>
      </c>
      <c r="F48" s="148" t="s">
        <v>63</v>
      </c>
      <c r="G48" s="6" t="s">
        <v>232</v>
      </c>
      <c r="H48" s="32" t="s">
        <v>36</v>
      </c>
      <c r="I48" s="16" t="str">
        <f t="shared" si="2"/>
        <v>[담당자권한] 담신당, 신규_담당자- 권한 사용(-)</v>
      </c>
      <c r="J48" s="125" t="s">
        <v>153</v>
      </c>
      <c r="K48" s="143" t="s">
        <v>156</v>
      </c>
    </row>
    <row r="49" spans="2:11" x14ac:dyDescent="0.45">
      <c r="B49" s="141" t="s">
        <v>227</v>
      </c>
      <c r="C49" s="142" t="s">
        <v>122</v>
      </c>
      <c r="D49" s="32" t="s">
        <v>224</v>
      </c>
      <c r="E49" s="148" t="s">
        <v>63</v>
      </c>
      <c r="F49" s="148" t="s">
        <v>63</v>
      </c>
      <c r="G49" s="6" t="s">
        <v>233</v>
      </c>
      <c r="H49" s="32" t="s">
        <v>36</v>
      </c>
      <c r="I49" s="16" t="str">
        <f t="shared" si="2"/>
        <v>[담당자권한] 신관리, 신규_관리자- 권한 사용(-)</v>
      </c>
      <c r="J49" s="125" t="s">
        <v>153</v>
      </c>
      <c r="K49" s="143" t="s">
        <v>156</v>
      </c>
    </row>
    <row r="50" spans="2:11" ht="17.5" thickBot="1" x14ac:dyDescent="0.5">
      <c r="B50" s="171" t="s">
        <v>228</v>
      </c>
      <c r="C50" s="172" t="s">
        <v>122</v>
      </c>
      <c r="D50" s="79" t="s">
        <v>224</v>
      </c>
      <c r="E50" s="173" t="s">
        <v>63</v>
      </c>
      <c r="F50" s="173" t="s">
        <v>63</v>
      </c>
      <c r="G50" s="56" t="s">
        <v>234</v>
      </c>
      <c r="H50" s="79" t="s">
        <v>36</v>
      </c>
      <c r="I50" s="26" t="str">
        <f t="shared" si="2"/>
        <v>[담당자권한] 신리관, 신규_관리자- 권한 사용(-)</v>
      </c>
      <c r="J50" s="109" t="s">
        <v>153</v>
      </c>
      <c r="K50" s="110" t="s">
        <v>156</v>
      </c>
    </row>
  </sheetData>
  <mergeCells count="6">
    <mergeCell ref="B32:F32"/>
    <mergeCell ref="B2:G2"/>
    <mergeCell ref="L7:L10"/>
    <mergeCell ref="N7:N10"/>
    <mergeCell ref="B22:F22"/>
    <mergeCell ref="B23:C2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OVERVIEW</vt:lpstr>
      <vt:lpstr>1. 부서권한</vt:lpstr>
      <vt:lpstr>2. 전문가관리</vt:lpstr>
      <vt:lpstr>3. 권한별 메뉴</vt:lpstr>
      <vt:lpstr>4. 게시판 권한</vt:lpstr>
      <vt:lpstr>5. 권한그룹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2025-12-03T01:08:07Z</dcterms:created>
  <dcterms:modified xsi:type="dcterms:W3CDTF">2025-12-08T08:08:11Z</dcterms:modified>
</cp:coreProperties>
</file>